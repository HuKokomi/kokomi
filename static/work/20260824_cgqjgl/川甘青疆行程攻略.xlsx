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E:\kokomi_blog\static\work\20260824_cgqjgl\"/>
    </mc:Choice>
  </mc:AlternateContent>
  <xr:revisionPtr revIDLastSave="0" documentId="8_{720B1550-AFB1-463C-9A3F-E6762FD95C27}" xr6:coauthVersionLast="47" xr6:coauthVersionMax="47" xr10:uidLastSave="{00000000-0000-0000-0000-000000000000}"/>
  <bookViews>
    <workbookView xWindow="768" yWindow="768" windowWidth="17280" windowHeight="8880" xr2:uid="{85644D13-C3BE-474F-AFFE-785F0496A33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3" i="1" l="1"/>
  <c r="K13" i="1" s="1"/>
  <c r="K26" i="1"/>
  <c r="J6" i="1"/>
  <c r="K6" i="1"/>
  <c r="J9" i="1"/>
  <c r="K9" i="1"/>
  <c r="J11" i="1"/>
  <c r="K11" i="1"/>
  <c r="J14" i="1"/>
  <c r="K14" i="1" s="1"/>
  <c r="J15" i="1"/>
  <c r="K15" i="1"/>
  <c r="J17" i="1"/>
  <c r="K17" i="1" s="1"/>
  <c r="J20" i="1"/>
  <c r="K20" i="1"/>
  <c r="J21" i="1"/>
  <c r="K21" i="1" s="1"/>
  <c r="J23" i="1"/>
  <c r="K23" i="1"/>
  <c r="J25" i="1"/>
  <c r="K25" i="1"/>
  <c r="J27" i="1" l="1"/>
  <c r="K27" i="1"/>
</calcChain>
</file>

<file path=xl/sharedStrings.xml><?xml version="1.0" encoding="utf-8"?>
<sst xmlns="http://schemas.openxmlformats.org/spreadsheetml/2006/main" count="161" uniqueCount="99">
  <si>
    <t>DAY1</t>
    <phoneticPr fontId="1" type="noConversion"/>
  </si>
  <si>
    <t>DAY3</t>
  </si>
  <si>
    <t>DAY5</t>
  </si>
  <si>
    <t>/</t>
    <phoneticPr fontId="1" type="noConversion"/>
  </si>
  <si>
    <t>花费总计</t>
    <phoneticPr fontId="1" type="noConversion"/>
  </si>
  <si>
    <t>行程</t>
    <phoneticPr fontId="1" type="noConversion"/>
  </si>
  <si>
    <t>行程安排</t>
    <phoneticPr fontId="1" type="noConversion"/>
  </si>
  <si>
    <t>时间</t>
    <phoneticPr fontId="1" type="noConversion"/>
  </si>
  <si>
    <t>松潘-若尔盖</t>
    <phoneticPr fontId="1" type="noConversion"/>
  </si>
  <si>
    <t>若尔盖-兰州</t>
    <phoneticPr fontId="1" type="noConversion"/>
  </si>
  <si>
    <t>出发时间</t>
    <phoneticPr fontId="1" type="noConversion"/>
  </si>
  <si>
    <t>到达时间</t>
    <phoneticPr fontId="1" type="noConversion"/>
  </si>
  <si>
    <t>DAY8</t>
    <phoneticPr fontId="1" type="noConversion"/>
  </si>
  <si>
    <t>DAY2</t>
    <phoneticPr fontId="1" type="noConversion"/>
  </si>
  <si>
    <t>日程</t>
    <phoneticPr fontId="1" type="noConversion"/>
  </si>
  <si>
    <t>费用</t>
    <phoneticPr fontId="1" type="noConversion"/>
  </si>
  <si>
    <t>实付</t>
    <phoneticPr fontId="1" type="noConversion"/>
  </si>
  <si>
    <t>备注</t>
    <phoneticPr fontId="1" type="noConversion"/>
  </si>
  <si>
    <t>已定</t>
    <phoneticPr fontId="1" type="noConversion"/>
  </si>
  <si>
    <t>大巴</t>
    <phoneticPr fontId="1" type="noConversion"/>
  </si>
  <si>
    <t>市区随逛</t>
    <phoneticPr fontId="1" type="noConversion"/>
  </si>
  <si>
    <t>DAY4</t>
    <phoneticPr fontId="1" type="noConversion"/>
  </si>
  <si>
    <t>兰州-成都西</t>
    <phoneticPr fontId="1" type="noConversion"/>
  </si>
  <si>
    <t>/</t>
  </si>
  <si>
    <t>市区随逛</t>
  </si>
  <si>
    <t>兰州</t>
  </si>
  <si>
    <t>兰州-乌鲁木齐</t>
  </si>
  <si>
    <t>17:00(估)</t>
  </si>
  <si>
    <t>14:10(+1)</t>
  </si>
  <si>
    <t>乌鲁木齐</t>
  </si>
  <si>
    <t>乌鲁木齐-博乐</t>
  </si>
  <si>
    <t>6:40(+1)</t>
  </si>
  <si>
    <t>Z379 硬座 02车 045号</t>
  </si>
  <si>
    <t>5801 硬卧 08车 02号上铺</t>
  </si>
  <si>
    <t>赛里木湖</t>
  </si>
  <si>
    <t>景区游览</t>
  </si>
  <si>
    <t>已定</t>
  </si>
  <si>
    <t>积分支付</t>
  </si>
  <si>
    <t>DAY6</t>
  </si>
  <si>
    <t>伊宁</t>
  </si>
  <si>
    <t>伊宁-乌鲁木齐</t>
  </si>
  <si>
    <t>6:59(+1)</t>
  </si>
  <si>
    <t>伊宁V8商务酒店（六星街店）</t>
  </si>
  <si>
    <t>K9790 硬卧 11车 15号上铺</t>
  </si>
  <si>
    <t>大巴</t>
  </si>
  <si>
    <t>乌鲁木齐-吐鲁番</t>
  </si>
  <si>
    <t>吐鲁番</t>
  </si>
  <si>
    <t>15:37(+1)</t>
  </si>
  <si>
    <t>T198 硬座 15车 105号</t>
  </si>
  <si>
    <t>T304 硬座 05车 064号</t>
  </si>
  <si>
    <t>9:24（+1）</t>
  </si>
  <si>
    <t>K4988 硬卧 06车 02号上铺</t>
  </si>
  <si>
    <t>吐鲁番-兰州</t>
  </si>
  <si>
    <t>DAY7</t>
  </si>
  <si>
    <t>东嘎如意宾馆</t>
  </si>
  <si>
    <t>火焰山-葡萄沟</t>
  </si>
  <si>
    <t>旅游专线</t>
  </si>
  <si>
    <t>成都</t>
  </si>
  <si>
    <t>成都西-松潘</t>
    <phoneticPr fontId="1" type="noConversion"/>
  </si>
  <si>
    <t>C5984 二等座 05车 10F号</t>
    <phoneticPr fontId="1" type="noConversion"/>
  </si>
  <si>
    <t>博乐-赛里木湖-伊宁</t>
    <phoneticPr fontId="1" type="noConversion"/>
  </si>
  <si>
    <t>若尔盖</t>
    <phoneticPr fontId="1" type="noConversion"/>
  </si>
  <si>
    <t>兰州</t>
    <phoneticPr fontId="1" type="noConversion"/>
  </si>
  <si>
    <t>住址/详情</t>
    <phoneticPr fontId="1" type="noConversion"/>
  </si>
  <si>
    <t>主要景观</t>
    <phoneticPr fontId="1" type="noConversion"/>
  </si>
  <si>
    <t>俄尼山公园、达扎寺、百人锅庄</t>
    <phoneticPr fontId="1" type="noConversion"/>
  </si>
  <si>
    <t>横断山区河谷、若尔盖大草原</t>
    <phoneticPr fontId="1" type="noConversion"/>
  </si>
  <si>
    <t>若尔盖大草原、西秦岭</t>
    <phoneticPr fontId="1" type="noConversion"/>
  </si>
  <si>
    <t>千里戈壁、天山山脉</t>
    <phoneticPr fontId="1" type="noConversion"/>
  </si>
  <si>
    <t>赛里木湖</t>
    <phoneticPr fontId="1" type="noConversion"/>
  </si>
  <si>
    <t>天山山脉日出（看运气）、果子沟大桥</t>
    <phoneticPr fontId="1" type="noConversion"/>
  </si>
  <si>
    <t>夜游六星街（演出美食）</t>
    <phoneticPr fontId="1" type="noConversion"/>
  </si>
  <si>
    <t>六星街（拍照打卡）、伊犁博物馆、伊犁老城、伊犁河日落</t>
    <phoneticPr fontId="1" type="noConversion"/>
  </si>
  <si>
    <t>千里戈壁</t>
    <phoneticPr fontId="1" type="noConversion"/>
  </si>
  <si>
    <t>火焰山山脉、沙漠风情建筑</t>
    <phoneticPr fontId="1" type="noConversion"/>
  </si>
  <si>
    <t>河西走廊、山丹军马场、祁连山脉、张家庄隧道</t>
    <phoneticPr fontId="1" type="noConversion"/>
  </si>
  <si>
    <t>二台阁（兰哈顿机位1）、兰山公园</t>
    <phoneticPr fontId="1" type="noConversion"/>
  </si>
  <si>
    <t>主要作为中转，时间充裕可以去唐克镇九曲黄河第一弯住一晚，有直达大巴车，但赶不上第二天去兰州的大巴，除了草原以外是一个比松潘规模小的民族风情区</t>
    <phoneticPr fontId="1" type="noConversion"/>
  </si>
  <si>
    <t>这一段非常漂亮，海拔从3600下到1700，从高山草甸到秦岭峡谷</t>
    <phoneticPr fontId="1" type="noConversion"/>
  </si>
  <si>
    <t>主要作为中转，前者西域风情文化街，后者傍晚能看到粉金色的博格达峰与乌市同框（看运气）</t>
    <phoneticPr fontId="1" type="noConversion"/>
  </si>
  <si>
    <t>主要作为中转，二台阁可以直接坐车上去，不用爬，兰州的城建非常漂亮</t>
    <phoneticPr fontId="1" type="noConversion"/>
  </si>
  <si>
    <t>无需多言，这段火车上上的风景直接给到夯</t>
    <phoneticPr fontId="1" type="noConversion"/>
  </si>
  <si>
    <t>国际大巴扎、红山公园（乌市与天山山脉同框机位）</t>
    <phoneticPr fontId="1" type="noConversion"/>
  </si>
  <si>
    <t>早上从伯乐坐接驳商务车去赛里木湖坐前排能看到被日出照射的天山，整体是红褐色的，有种在火星的感觉，傍晚坐大巴前往伊宁市坐大巴坐前进方向右侧能看到完整的果子沟大桥</t>
    <phoneticPr fontId="1" type="noConversion"/>
  </si>
  <si>
    <t>主观感受（纯主观，仅供参考）</t>
    <phoneticPr fontId="1" type="noConversion"/>
  </si>
  <si>
    <t>火焰山、葡萄沟、坎儿井</t>
    <phoneticPr fontId="1" type="noConversion"/>
  </si>
  <si>
    <t>这里是比较刻板映像的新疆，干旱炽热的沙漠，能看到当地的民风民情和特色建筑，火焰山在外面打卡就行了，不要买门票进去，里面两个点分开收费要80，景和外面看的都一样</t>
    <phoneticPr fontId="1" type="noConversion"/>
  </si>
  <si>
    <t>这一段路上看到的沙漠戈壁和火焰山还是挺震撼的</t>
    <phoneticPr fontId="1" type="noConversion"/>
  </si>
  <si>
    <t>无需多言，运气好就是夯，全国三大景点名不虚传，比较推荐松树头和克勒涌珠两个点，其他小点看到喜欢的就下车就行了，松树头个人感受爬起来挺轻松的，完全值得山顶（果子沟大桥机位）</t>
    <phoneticPr fontId="1" type="noConversion"/>
  </si>
  <si>
    <t>这一段天气好的话那拉提和喀拉峻完全就不用去了，川西小瑞士不是白叫的</t>
    <phoneticPr fontId="1" type="noConversion"/>
  </si>
  <si>
    <t>苹果乡歌词里的六星街，大一点店门口都会有各种表演（民族舞、民族乐器等），非常有意思很好玩，里面还有很多特色美食，也是夯爆了</t>
    <phoneticPr fontId="1" type="noConversion"/>
  </si>
  <si>
    <t>这一天的行程可以换成那拉提或者喀拉峻。六星街白天街景色彩非常丰富，非常好看；伊犁老城和六星街基本上都一样，可以不去；去伊犁河看落日可以体验一下河上的冲锋艇，看着很爽。</t>
    <phoneticPr fontId="1" type="noConversion"/>
  </si>
  <si>
    <t>早上可以在车站周边吃个早饭，这一段火车上的景就是大众印象中的新疆，沙漠戈壁</t>
    <phoneticPr fontId="1" type="noConversion"/>
  </si>
  <si>
    <t>青甘大环线三分之一精化景观（剩下俩是河西四郡和四大湖）在这段火车上都能看到</t>
    <phoneticPr fontId="1" type="noConversion"/>
  </si>
  <si>
    <t>黄河铁桥（中山桥）、白塔山公园（兰哈顿机位2）、大众巷</t>
    <phoneticPr fontId="1" type="noConversion"/>
  </si>
  <si>
    <t>白塔山公园八点左右亮灯后能拍到中山桥黄河兰州城同框，个人感觉在去过的城市景观里能进前三。大众巷很值得逛，物价总体不高，吃的非常多，兰州美食也夯爆了</t>
    <phoneticPr fontId="1" type="noConversion"/>
  </si>
  <si>
    <t>宽窄巷子、武侯祠、天府广场、IFS国金中心、东郊记忆</t>
    <phoneticPr fontId="1" type="noConversion"/>
  </si>
  <si>
    <t>主要作为凑数地，和前面比起来确实有点平庸了。尤其壁垒东郊记忆，全是神人二次元，大喊大叫的跟神经病一样</t>
    <phoneticPr fontId="1" type="noConversion"/>
  </si>
  <si>
    <t>前半截车上睡着了，后半截看到了几个峡谷，挺壮观的，但大部分时间在钻隧道，风景没国道上面的好看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</si>
</sst>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h:mm;@"/>
    <numFmt numFmtId="177" formatCode="0.00_);[Red]\(0.00\)"/>
  </numFmts>
  <fonts count="7" x14ac:knownFonts="1">
    <font>
      <sz val="11"/>
      <color theme="1"/>
      <name val="等线"/>
      <family val="2"/>
      <charset val="134"/>
      <scheme val="minor"/>
    </font>
    <font>
      <sz val="9"/>
      <name val="等线"/>
      <family val="2"/>
      <charset val="134"/>
      <scheme val="minor"/>
    </font>
    <font>
      <sz val="11"/>
      <color theme="1"/>
      <name val="宋体"/>
      <family val="3"/>
      <charset val="134"/>
    </font>
    <font>
      <sz val="11"/>
      <color theme="1"/>
      <name val="Times New Roman"/>
      <family val="1"/>
    </font>
    <font>
      <b/>
      <sz val="14"/>
      <color theme="1"/>
      <name val="楷体"/>
      <family val="3"/>
      <charset val="134"/>
    </font>
    <font>
      <b/>
      <sz val="12"/>
      <color theme="1"/>
      <name val="楷体"/>
      <family val="3"/>
      <charset val="134"/>
    </font>
    <font>
      <b/>
      <sz val="16"/>
      <color theme="1"/>
      <name val="楷体"/>
      <family val="3"/>
      <charset val="134"/>
    </font>
  </fonts>
  <fills count="12">
    <fill>
      <patternFill patternType="none"/>
    </fill>
    <fill>
      <patternFill patternType="gray125"/>
    </fill>
    <fill>
      <patternFill patternType="solid">
        <fgColor rgb="FFFF7C80"/>
        <bgColor indexed="64"/>
      </patternFill>
    </fill>
    <fill>
      <patternFill patternType="solid">
        <fgColor rgb="FFFFCC66"/>
        <bgColor indexed="64"/>
      </patternFill>
    </fill>
    <fill>
      <patternFill patternType="solid">
        <fgColor rgb="FFFFFF99"/>
        <bgColor indexed="64"/>
      </patternFill>
    </fill>
    <fill>
      <patternFill patternType="solid">
        <fgColor rgb="FF66FF66"/>
        <bgColor indexed="64"/>
      </patternFill>
    </fill>
    <fill>
      <patternFill patternType="solid">
        <fgColor rgb="FF00FFFF"/>
        <bgColor indexed="64"/>
      </patternFill>
    </fill>
    <fill>
      <patternFill patternType="solid">
        <fgColor rgb="FF9999FF"/>
        <bgColor indexed="64"/>
      </patternFill>
    </fill>
    <fill>
      <patternFill patternType="solid">
        <fgColor theme="0" tint="-0.249977111117893"/>
        <bgColor indexed="64"/>
      </patternFill>
    </fill>
    <fill>
      <patternFill patternType="solid">
        <fgColor rgb="FF66CCFF"/>
        <bgColor indexed="64"/>
      </patternFill>
    </fill>
    <fill>
      <patternFill patternType="solid">
        <fgColor rgb="FFCC99FF"/>
        <bgColor indexed="64"/>
      </patternFill>
    </fill>
    <fill>
      <patternFill patternType="solid">
        <fgColor rgb="FFFF99F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rgb="FF505050"/>
      </left>
      <right style="thin">
        <color rgb="FF505050"/>
      </right>
      <top style="thin">
        <color rgb="FF505050"/>
      </top>
      <bottom style="thin">
        <color rgb="FF505050"/>
      </bottom>
      <diagonal/>
    </border>
    <border>
      <left style="thin">
        <color indexed="64"/>
      </left>
      <right/>
      <top style="thin">
        <color indexed="64"/>
      </top>
      <bottom/>
      <diagonal/>
    </border>
    <border>
      <left/>
      <right style="medium">
        <color indexed="64"/>
      </right>
      <top style="thin">
        <color indexed="64"/>
      </top>
      <bottom style="thin">
        <color rgb="FF505050"/>
      </bottom>
      <diagonal/>
    </border>
  </borders>
  <cellStyleXfs count="1">
    <xf numFmtId="0" fontId="0" fillId="0" borderId="0">
      <alignment vertical="center"/>
    </xf>
  </cellStyleXfs>
  <cellXfs count="135">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2" fillId="10" borderId="7" xfId="0" applyFont="1" applyFill="1" applyBorder="1" applyAlignment="1">
      <alignment horizontal="center" vertical="center"/>
    </xf>
    <xf numFmtId="176" fontId="3" fillId="0" borderId="0" xfId="0" applyNumberFormat="1" applyFont="1" applyAlignment="1">
      <alignment horizontal="center" vertical="center"/>
    </xf>
    <xf numFmtId="176" fontId="5" fillId="8" borderId="10" xfId="0" applyNumberFormat="1" applyFont="1" applyFill="1" applyBorder="1" applyAlignment="1">
      <alignment horizontal="center" vertical="center"/>
    </xf>
    <xf numFmtId="58" fontId="2" fillId="11" borderId="3" xfId="0" applyNumberFormat="1" applyFont="1" applyFill="1" applyBorder="1" applyAlignment="1">
      <alignment horizontal="center" vertical="center"/>
    </xf>
    <xf numFmtId="176" fontId="2" fillId="11" borderId="3" xfId="0" applyNumberFormat="1" applyFont="1" applyFill="1" applyBorder="1" applyAlignment="1">
      <alignment horizontal="center" vertical="center"/>
    </xf>
    <xf numFmtId="0" fontId="2" fillId="11" borderId="3" xfId="0" applyFont="1" applyFill="1" applyBorder="1" applyAlignment="1">
      <alignment horizontal="center" vertical="center"/>
    </xf>
    <xf numFmtId="0" fontId="2" fillId="11" borderId="4" xfId="0" applyFont="1" applyFill="1" applyBorder="1" applyAlignment="1">
      <alignment horizontal="center" vertical="center"/>
    </xf>
    <xf numFmtId="58" fontId="2" fillId="11" borderId="1" xfId="0" applyNumberFormat="1" applyFont="1" applyFill="1" applyBorder="1" applyAlignment="1">
      <alignment horizontal="center" vertical="center"/>
    </xf>
    <xf numFmtId="176" fontId="2" fillId="11" borderId="1" xfId="0" applyNumberFormat="1" applyFont="1" applyFill="1" applyBorder="1" applyAlignment="1">
      <alignment horizontal="center" vertical="center"/>
    </xf>
    <xf numFmtId="0" fontId="2" fillId="11" borderId="23" xfId="0" applyFont="1" applyFill="1" applyBorder="1" applyAlignment="1">
      <alignment horizontal="center" vertical="center"/>
    </xf>
    <xf numFmtId="58" fontId="2" fillId="2" borderId="1" xfId="0" applyNumberFormat="1" applyFont="1" applyFill="1" applyBorder="1" applyAlignment="1">
      <alignment horizontal="center" vertical="center"/>
    </xf>
    <xf numFmtId="176"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3" xfId="0" applyFont="1" applyFill="1" applyBorder="1" applyAlignment="1">
      <alignment horizontal="center" vertical="center"/>
    </xf>
    <xf numFmtId="58" fontId="2" fillId="3" borderId="1" xfId="0" applyNumberFormat="1" applyFont="1" applyFill="1" applyBorder="1" applyAlignment="1">
      <alignment horizontal="center" vertical="center"/>
    </xf>
    <xf numFmtId="176"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3" borderId="23" xfId="0" applyFont="1" applyFill="1" applyBorder="1" applyAlignment="1">
      <alignment horizontal="center" vertical="center"/>
    </xf>
    <xf numFmtId="58" fontId="2" fillId="4" borderId="1" xfId="0" applyNumberFormat="1" applyFont="1" applyFill="1" applyBorder="1" applyAlignment="1">
      <alignment horizontal="center" vertical="center"/>
    </xf>
    <xf numFmtId="176"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4" borderId="23" xfId="0" applyFont="1" applyFill="1" applyBorder="1" applyAlignment="1">
      <alignment horizontal="center" vertical="center"/>
    </xf>
    <xf numFmtId="58" fontId="2" fillId="5" borderId="1" xfId="0" applyNumberFormat="1" applyFont="1" applyFill="1" applyBorder="1" applyAlignment="1">
      <alignment horizontal="center" vertical="center"/>
    </xf>
    <xf numFmtId="176"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5" borderId="23" xfId="0" applyFont="1" applyFill="1" applyBorder="1" applyAlignment="1">
      <alignment horizontal="center" vertical="center"/>
    </xf>
    <xf numFmtId="0" fontId="2" fillId="6" borderId="1" xfId="0" applyFont="1" applyFill="1" applyBorder="1" applyAlignment="1">
      <alignment horizontal="center" vertical="center"/>
    </xf>
    <xf numFmtId="176" fontId="2" fillId="6" borderId="1" xfId="0" applyNumberFormat="1" applyFont="1" applyFill="1" applyBorder="1" applyAlignment="1">
      <alignment horizontal="center" vertical="center"/>
    </xf>
    <xf numFmtId="0" fontId="2" fillId="6" borderId="23" xfId="0" applyFont="1" applyFill="1" applyBorder="1" applyAlignment="1">
      <alignment horizontal="center" vertical="center"/>
    </xf>
    <xf numFmtId="176" fontId="2" fillId="9" borderId="1" xfId="0" applyNumberFormat="1" applyFont="1" applyFill="1" applyBorder="1" applyAlignment="1">
      <alignment horizontal="center" vertical="center"/>
    </xf>
    <xf numFmtId="0" fontId="2" fillId="9" borderId="1" xfId="0" applyFont="1" applyFill="1" applyBorder="1" applyAlignment="1">
      <alignment horizontal="center" vertical="center"/>
    </xf>
    <xf numFmtId="0" fontId="2" fillId="9" borderId="23" xfId="0" applyFont="1" applyFill="1" applyBorder="1" applyAlignment="1">
      <alignment horizontal="center" vertical="center"/>
    </xf>
    <xf numFmtId="0" fontId="2" fillId="10" borderId="8" xfId="0" applyFont="1" applyFill="1" applyBorder="1" applyAlignment="1">
      <alignment horizontal="center" vertical="center"/>
    </xf>
    <xf numFmtId="176" fontId="2" fillId="10" borderId="8" xfId="0" applyNumberFormat="1" applyFont="1" applyFill="1" applyBorder="1" applyAlignment="1">
      <alignment horizontal="center" vertical="center"/>
    </xf>
    <xf numFmtId="0" fontId="2" fillId="10" borderId="28" xfId="0" applyFont="1" applyFill="1" applyBorder="1" applyAlignment="1">
      <alignment horizontal="center" vertical="center"/>
    </xf>
    <xf numFmtId="58" fontId="2" fillId="11" borderId="11" xfId="0" applyNumberFormat="1" applyFont="1" applyFill="1" applyBorder="1" applyAlignment="1">
      <alignment horizontal="center" vertical="center"/>
    </xf>
    <xf numFmtId="176" fontId="2" fillId="11" borderId="11" xfId="0" applyNumberFormat="1" applyFont="1" applyFill="1" applyBorder="1" applyAlignment="1">
      <alignment horizontal="center" vertical="center"/>
    </xf>
    <xf numFmtId="0" fontId="2" fillId="11" borderId="11" xfId="0" applyFont="1" applyFill="1" applyBorder="1" applyAlignment="1">
      <alignment horizontal="center" vertical="center"/>
    </xf>
    <xf numFmtId="0" fontId="2" fillId="11" borderId="29" xfId="0" applyFont="1" applyFill="1" applyBorder="1" applyAlignment="1">
      <alignment horizontal="center" vertical="center"/>
    </xf>
    <xf numFmtId="177" fontId="3" fillId="0" borderId="0" xfId="0" applyNumberFormat="1" applyFont="1" applyAlignment="1">
      <alignment horizontal="center" vertical="center"/>
    </xf>
    <xf numFmtId="177" fontId="2" fillId="11" borderId="3" xfId="0" applyNumberFormat="1" applyFont="1" applyFill="1" applyBorder="1" applyAlignment="1">
      <alignment horizontal="center" vertical="center"/>
    </xf>
    <xf numFmtId="177" fontId="2" fillId="11" borderId="11" xfId="0" applyNumberFormat="1" applyFont="1" applyFill="1" applyBorder="1" applyAlignment="1">
      <alignment horizontal="center" vertical="center"/>
    </xf>
    <xf numFmtId="177" fontId="2" fillId="11" borderId="1" xfId="0" applyNumberFormat="1" applyFont="1" applyFill="1" applyBorder="1" applyAlignment="1">
      <alignment horizontal="center" vertical="center"/>
    </xf>
    <xf numFmtId="177" fontId="2" fillId="2" borderId="1" xfId="0" applyNumberFormat="1" applyFont="1" applyFill="1" applyBorder="1" applyAlignment="1">
      <alignment horizontal="center" vertical="center"/>
    </xf>
    <xf numFmtId="177" fontId="2" fillId="3" borderId="1" xfId="0" applyNumberFormat="1" applyFont="1" applyFill="1" applyBorder="1" applyAlignment="1">
      <alignment horizontal="center" vertical="center"/>
    </xf>
    <xf numFmtId="177" fontId="2" fillId="4" borderId="1" xfId="0" applyNumberFormat="1" applyFont="1" applyFill="1" applyBorder="1" applyAlignment="1">
      <alignment horizontal="center" vertical="center"/>
    </xf>
    <xf numFmtId="177" fontId="2" fillId="5" borderId="1" xfId="0" applyNumberFormat="1" applyFont="1" applyFill="1" applyBorder="1" applyAlignment="1">
      <alignment horizontal="center" vertical="center"/>
    </xf>
    <xf numFmtId="177" fontId="2" fillId="6"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7" fontId="2" fillId="10" borderId="27" xfId="0" applyNumberFormat="1" applyFont="1" applyFill="1" applyBorder="1" applyAlignment="1">
      <alignment horizontal="center" vertical="center"/>
    </xf>
    <xf numFmtId="58" fontId="2" fillId="9" borderId="1" xfId="0" applyNumberFormat="1" applyFont="1" applyFill="1" applyBorder="1" applyAlignment="1">
      <alignment horizontal="center" vertical="center"/>
    </xf>
    <xf numFmtId="20" fontId="2" fillId="4" borderId="1" xfId="0" applyNumberFormat="1" applyFont="1" applyFill="1" applyBorder="1" applyAlignment="1">
      <alignment horizontal="center" vertical="center"/>
    </xf>
    <xf numFmtId="177" fontId="2" fillId="7" borderId="30" xfId="0" applyNumberFormat="1" applyFont="1" applyFill="1" applyBorder="1" applyAlignment="1">
      <alignment horizontal="center" vertical="center"/>
    </xf>
    <xf numFmtId="0" fontId="2" fillId="7" borderId="31" xfId="0" applyFont="1" applyFill="1" applyBorder="1" applyAlignment="1">
      <alignment horizontal="center" vertical="center"/>
    </xf>
    <xf numFmtId="58" fontId="2" fillId="7" borderId="33" xfId="0" applyNumberFormat="1" applyFont="1" applyFill="1" applyBorder="1" applyAlignment="1">
      <alignment horizontal="center" vertical="center"/>
    </xf>
    <xf numFmtId="176" fontId="2" fillId="7" borderId="33" xfId="0" applyNumberFormat="1" applyFont="1" applyFill="1" applyBorder="1" applyAlignment="1">
      <alignment horizontal="center" vertical="center"/>
    </xf>
    <xf numFmtId="0" fontId="2" fillId="7" borderId="33" xfId="0" applyFont="1" applyFill="1" applyBorder="1" applyAlignment="1">
      <alignment horizontal="center" vertical="center"/>
    </xf>
    <xf numFmtId="177" fontId="2" fillId="7" borderId="33" xfId="0" applyNumberFormat="1" applyFont="1" applyFill="1" applyBorder="1" applyAlignment="1">
      <alignment horizontal="center" vertical="center"/>
    </xf>
    <xf numFmtId="58" fontId="2" fillId="9" borderId="10" xfId="0" applyNumberFormat="1" applyFont="1" applyFill="1" applyBorder="1" applyAlignment="1">
      <alignment horizontal="center" vertical="center"/>
    </xf>
    <xf numFmtId="176" fontId="2" fillId="9" borderId="10" xfId="0" applyNumberFormat="1" applyFont="1" applyFill="1" applyBorder="1" applyAlignment="1">
      <alignment horizontal="center" vertical="center"/>
    </xf>
    <xf numFmtId="0" fontId="2" fillId="9" borderId="10" xfId="0" applyFont="1" applyFill="1" applyBorder="1" applyAlignment="1">
      <alignment horizontal="center" vertical="center"/>
    </xf>
    <xf numFmtId="177" fontId="2" fillId="9" borderId="10" xfId="0" applyNumberFormat="1" applyFont="1" applyFill="1" applyBorder="1" applyAlignment="1">
      <alignment horizontal="center" vertical="center"/>
    </xf>
    <xf numFmtId="58" fontId="2" fillId="7" borderId="30" xfId="0" applyNumberFormat="1" applyFont="1" applyFill="1" applyBorder="1" applyAlignment="1">
      <alignment horizontal="center" vertical="center"/>
    </xf>
    <xf numFmtId="176"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0" fontId="2" fillId="7" borderId="35" xfId="0" applyFont="1" applyFill="1" applyBorder="1" applyAlignment="1">
      <alignment horizontal="center" vertical="center"/>
    </xf>
    <xf numFmtId="176" fontId="3" fillId="0" borderId="0" xfId="0" applyNumberFormat="1" applyFont="1" applyAlignment="1">
      <alignment horizontal="center" vertical="center" wrapText="1"/>
    </xf>
    <xf numFmtId="176" fontId="2" fillId="11" borderId="3" xfId="0" applyNumberFormat="1" applyFont="1" applyFill="1" applyBorder="1" applyAlignment="1">
      <alignment horizontal="center" vertical="center" wrapText="1"/>
    </xf>
    <xf numFmtId="176" fontId="2" fillId="11" borderId="1" xfId="0" applyNumberFormat="1"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76" fontId="2" fillId="5" borderId="1" xfId="0" applyNumberFormat="1" applyFont="1" applyFill="1" applyBorder="1" applyAlignment="1">
      <alignment horizontal="center" vertical="center" wrapText="1"/>
    </xf>
    <xf numFmtId="176" fontId="2" fillId="6" borderId="1" xfId="0" applyNumberFormat="1" applyFont="1" applyFill="1" applyBorder="1" applyAlignment="1">
      <alignment horizontal="center" vertical="center" wrapText="1"/>
    </xf>
    <xf numFmtId="176" fontId="2" fillId="9" borderId="1" xfId="0" applyNumberFormat="1" applyFont="1" applyFill="1" applyBorder="1" applyAlignment="1">
      <alignment horizontal="center" vertical="center" wrapText="1"/>
    </xf>
    <xf numFmtId="176" fontId="2" fillId="9" borderId="10" xfId="0" applyNumberFormat="1" applyFont="1" applyFill="1" applyBorder="1" applyAlignment="1">
      <alignment horizontal="center" vertical="center" wrapText="1"/>
    </xf>
    <xf numFmtId="176" fontId="2" fillId="7" borderId="33" xfId="0" applyNumberFormat="1" applyFont="1" applyFill="1" applyBorder="1" applyAlignment="1">
      <alignment horizontal="center" vertical="center" wrapText="1"/>
    </xf>
    <xf numFmtId="176" fontId="2" fillId="7" borderId="30" xfId="0" applyNumberFormat="1" applyFont="1" applyFill="1" applyBorder="1" applyAlignment="1">
      <alignment horizontal="center" vertical="center" wrapText="1"/>
    </xf>
    <xf numFmtId="176" fontId="2" fillId="10" borderId="8" xfId="0" applyNumberFormat="1" applyFont="1" applyFill="1" applyBorder="1" applyAlignment="1">
      <alignment horizontal="center" vertical="center" wrapText="1"/>
    </xf>
    <xf numFmtId="176" fontId="5" fillId="8" borderId="10" xfId="0" applyNumberFormat="1" applyFont="1" applyFill="1" applyBorder="1" applyAlignment="1">
      <alignment horizontal="center" vertical="center" wrapText="1"/>
    </xf>
    <xf numFmtId="176" fontId="5" fillId="8" borderId="30" xfId="0" applyNumberFormat="1" applyFont="1" applyFill="1" applyBorder="1" applyAlignment="1">
      <alignment horizontal="center" vertical="center" wrapText="1"/>
    </xf>
    <xf numFmtId="0" fontId="2" fillId="7" borderId="16" xfId="0" applyFont="1" applyFill="1" applyBorder="1" applyAlignment="1">
      <alignment horizontal="center" vertical="center"/>
    </xf>
    <xf numFmtId="0" fontId="2" fillId="7" borderId="32" xfId="0" applyFont="1" applyFill="1" applyBorder="1" applyAlignment="1">
      <alignment horizontal="center" vertical="center"/>
    </xf>
    <xf numFmtId="58" fontId="2" fillId="7" borderId="34" xfId="0" applyNumberFormat="1" applyFont="1" applyFill="1" applyBorder="1" applyAlignment="1">
      <alignment horizontal="center" vertical="center"/>
    </xf>
    <xf numFmtId="58" fontId="2" fillId="7" borderId="30" xfId="0" applyNumberFormat="1" applyFont="1" applyFill="1" applyBorder="1" applyAlignment="1">
      <alignment horizontal="center" vertical="center"/>
    </xf>
    <xf numFmtId="0" fontId="2" fillId="9" borderId="26" xfId="0" applyFont="1" applyFill="1" applyBorder="1" applyAlignment="1">
      <alignment horizontal="center" vertical="center"/>
    </xf>
    <xf numFmtId="0" fontId="2" fillId="9" borderId="12" xfId="0" applyFont="1" applyFill="1" applyBorder="1" applyAlignment="1">
      <alignment horizontal="center" vertical="center"/>
    </xf>
    <xf numFmtId="58" fontId="2" fillId="9" borderId="15" xfId="0" applyNumberFormat="1" applyFont="1" applyFill="1" applyBorder="1" applyAlignment="1">
      <alignment horizontal="center" vertical="center"/>
    </xf>
    <xf numFmtId="58" fontId="2" fillId="9" borderId="11" xfId="0" applyNumberFormat="1" applyFont="1" applyFill="1" applyBorder="1" applyAlignment="1">
      <alignment horizontal="center" vertical="center"/>
    </xf>
    <xf numFmtId="58" fontId="2" fillId="6" borderId="10" xfId="0" applyNumberFormat="1" applyFont="1" applyFill="1" applyBorder="1" applyAlignment="1">
      <alignment horizontal="center" vertical="center"/>
    </xf>
    <xf numFmtId="58" fontId="2" fillId="6" borderId="15" xfId="0" applyNumberFormat="1" applyFont="1" applyFill="1" applyBorder="1" applyAlignment="1">
      <alignment horizontal="center" vertical="center"/>
    </xf>
    <xf numFmtId="58" fontId="2" fillId="6" borderId="11" xfId="0" applyNumberFormat="1" applyFont="1" applyFill="1" applyBorder="1" applyAlignment="1">
      <alignment horizontal="center" vertical="center"/>
    </xf>
    <xf numFmtId="0" fontId="2" fillId="4" borderId="16" xfId="0" applyFont="1" applyFill="1" applyBorder="1" applyAlignment="1">
      <alignment horizontal="center" vertical="center"/>
    </xf>
    <xf numFmtId="0" fontId="2" fillId="4" borderId="26" xfId="0" applyFont="1" applyFill="1" applyBorder="1" applyAlignment="1">
      <alignment horizontal="center" vertical="center"/>
    </xf>
    <xf numFmtId="0" fontId="2" fillId="4" borderId="12" xfId="0" applyFont="1" applyFill="1" applyBorder="1" applyAlignment="1">
      <alignment horizontal="center" vertical="center"/>
    </xf>
    <xf numFmtId="58" fontId="2" fillId="4" borderId="10" xfId="0" applyNumberFormat="1" applyFont="1" applyFill="1" applyBorder="1" applyAlignment="1">
      <alignment horizontal="center" vertical="center"/>
    </xf>
    <xf numFmtId="58" fontId="2" fillId="4" borderId="15" xfId="0" applyNumberFormat="1" applyFont="1" applyFill="1" applyBorder="1" applyAlignment="1">
      <alignment horizontal="center" vertical="center"/>
    </xf>
    <xf numFmtId="58" fontId="2" fillId="4" borderId="11" xfId="0" applyNumberFormat="1" applyFont="1" applyFill="1" applyBorder="1" applyAlignment="1">
      <alignment horizontal="center" vertical="center"/>
    </xf>
    <xf numFmtId="0" fontId="2" fillId="6" borderId="16"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12" xfId="0" applyFont="1" applyFill="1" applyBorder="1" applyAlignment="1">
      <alignment horizontal="center" vertical="center"/>
    </xf>
    <xf numFmtId="58" fontId="2" fillId="11" borderId="3" xfId="0" applyNumberFormat="1" applyFont="1" applyFill="1" applyBorder="1" applyAlignment="1">
      <alignment horizontal="center" vertical="center"/>
    </xf>
    <xf numFmtId="58" fontId="2" fillId="11" borderId="11" xfId="0" applyNumberFormat="1" applyFont="1" applyFill="1" applyBorder="1" applyAlignment="1">
      <alignment horizontal="center" vertical="center"/>
    </xf>
    <xf numFmtId="58" fontId="2" fillId="11" borderId="1" xfId="0" applyNumberFormat="1" applyFont="1" applyFill="1" applyBorder="1" applyAlignment="1">
      <alignment horizontal="center" vertical="center"/>
    </xf>
    <xf numFmtId="0" fontId="6" fillId="8" borderId="17" xfId="0" applyFont="1" applyFill="1" applyBorder="1" applyAlignment="1">
      <alignment horizontal="center" vertical="center"/>
    </xf>
    <xf numFmtId="0" fontId="6" fillId="8" borderId="18" xfId="0" applyFont="1" applyFill="1" applyBorder="1" applyAlignment="1">
      <alignment horizontal="center" vertical="center"/>
    </xf>
    <xf numFmtId="0" fontId="6" fillId="8" borderId="19" xfId="0" applyFont="1" applyFill="1" applyBorder="1" applyAlignment="1">
      <alignment horizontal="center" vertical="center"/>
    </xf>
    <xf numFmtId="0" fontId="6" fillId="8" borderId="14" xfId="0" applyFont="1" applyFill="1" applyBorder="1" applyAlignment="1">
      <alignment horizontal="center" vertical="center"/>
    </xf>
    <xf numFmtId="0" fontId="2" fillId="5" borderId="5" xfId="0" applyFont="1" applyFill="1" applyBorder="1" applyAlignment="1">
      <alignment horizontal="center" vertical="center"/>
    </xf>
    <xf numFmtId="58" fontId="2" fillId="5" borderId="1" xfId="0" applyNumberFormat="1" applyFont="1" applyFill="1" applyBorder="1" applyAlignment="1">
      <alignment horizontal="center" vertical="center"/>
    </xf>
    <xf numFmtId="0" fontId="2" fillId="2" borderId="5" xfId="0" applyFont="1" applyFill="1" applyBorder="1" applyAlignment="1">
      <alignment horizontal="center" vertical="center"/>
    </xf>
    <xf numFmtId="58" fontId="2" fillId="2" borderId="1" xfId="0" applyNumberFormat="1" applyFont="1" applyFill="1" applyBorder="1" applyAlignment="1">
      <alignment horizontal="center" vertical="center"/>
    </xf>
    <xf numFmtId="0" fontId="2" fillId="3" borderId="5" xfId="0" applyFont="1" applyFill="1" applyBorder="1" applyAlignment="1">
      <alignment horizontal="center" vertical="center"/>
    </xf>
    <xf numFmtId="58" fontId="2" fillId="3" borderId="1" xfId="0" applyNumberFormat="1" applyFont="1" applyFill="1" applyBorder="1" applyAlignment="1">
      <alignment horizontal="center" vertical="center"/>
    </xf>
    <xf numFmtId="0" fontId="2" fillId="11" borderId="2" xfId="0" applyFont="1" applyFill="1" applyBorder="1" applyAlignment="1">
      <alignment horizontal="center" vertical="center"/>
    </xf>
    <xf numFmtId="0" fontId="2" fillId="11" borderId="12" xfId="0" applyFont="1" applyFill="1" applyBorder="1" applyAlignment="1">
      <alignment horizontal="center" vertical="center"/>
    </xf>
    <xf numFmtId="0" fontId="2" fillId="11" borderId="5" xfId="0" applyFont="1" applyFill="1" applyBorder="1" applyAlignment="1">
      <alignment horizontal="center" vertical="center"/>
    </xf>
    <xf numFmtId="0" fontId="6" fillId="8" borderId="21" xfId="0" applyFont="1" applyFill="1" applyBorder="1" applyAlignment="1">
      <alignment horizontal="center" vertical="center"/>
    </xf>
    <xf numFmtId="0" fontId="6" fillId="8" borderId="22" xfId="0" applyFont="1" applyFill="1" applyBorder="1" applyAlignment="1">
      <alignment horizontal="center" vertical="center"/>
    </xf>
    <xf numFmtId="0" fontId="4" fillId="8" borderId="13" xfId="0" applyFont="1" applyFill="1" applyBorder="1" applyAlignment="1">
      <alignment horizontal="center" vertical="center"/>
    </xf>
    <xf numFmtId="0" fontId="4" fillId="8" borderId="25" xfId="0" applyFont="1" applyFill="1" applyBorder="1" applyAlignment="1">
      <alignment horizontal="center" vertical="center"/>
    </xf>
    <xf numFmtId="0" fontId="4" fillId="8" borderId="24" xfId="0" applyFont="1" applyFill="1" applyBorder="1" applyAlignment="1">
      <alignment horizontal="center" vertical="center"/>
    </xf>
    <xf numFmtId="176" fontId="5" fillId="8" borderId="9" xfId="0" applyNumberFormat="1" applyFont="1" applyFill="1" applyBorder="1" applyAlignment="1">
      <alignment horizontal="center" vertical="center"/>
    </xf>
    <xf numFmtId="176" fontId="5" fillId="8" borderId="6" xfId="0" applyNumberFormat="1" applyFont="1" applyFill="1" applyBorder="1" applyAlignment="1">
      <alignment horizontal="center" vertical="center"/>
    </xf>
    <xf numFmtId="0" fontId="6" fillId="8" borderId="10" xfId="0" applyFont="1" applyFill="1" applyBorder="1" applyAlignment="1">
      <alignment horizontal="center" vertical="center"/>
    </xf>
    <xf numFmtId="0" fontId="6" fillId="8" borderId="15" xfId="0" applyFont="1" applyFill="1" applyBorder="1" applyAlignment="1">
      <alignment horizontal="center" vertical="center"/>
    </xf>
    <xf numFmtId="0" fontId="5" fillId="8" borderId="10" xfId="0" applyFont="1" applyFill="1" applyBorder="1" applyAlignment="1">
      <alignment horizontal="center" vertical="center"/>
    </xf>
    <xf numFmtId="0" fontId="5" fillId="8" borderId="15" xfId="0" applyFont="1" applyFill="1" applyBorder="1" applyAlignment="1">
      <alignment horizontal="center" vertical="center"/>
    </xf>
    <xf numFmtId="177" fontId="6" fillId="8" borderId="20" xfId="0" applyNumberFormat="1" applyFont="1" applyFill="1" applyBorder="1" applyAlignment="1">
      <alignment horizontal="center" vertical="center"/>
    </xf>
    <xf numFmtId="177" fontId="6" fillId="8" borderId="15" xfId="0" applyNumberFormat="1"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9999FF"/>
      <color rgb="FF66CCFF"/>
      <color rgb="FF00FFFF"/>
      <color rgb="FF66FF66"/>
      <color rgb="FFFFFF99"/>
      <color rgb="FFFFCC66"/>
      <color rgb="FFFF7C80"/>
      <color rgb="FFFF99FF"/>
      <color rgb="FFCC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4333D-F033-450E-96E3-37F338CC31E7}">
  <dimension ref="B1:L27"/>
  <sheetViews>
    <sheetView tabSelected="1" topLeftCell="H19" zoomScale="73" zoomScaleNormal="115" workbookViewId="0">
      <selection activeCell="B2" sqref="B2:L27"/>
    </sheetView>
  </sheetViews>
  <sheetFormatPr defaultColWidth="8.88671875" defaultRowHeight="13.8" x14ac:dyDescent="0.25"/>
  <cols>
    <col min="1" max="1" width="8.88671875" style="1"/>
    <col min="2" max="3" width="8.88671875" style="2"/>
    <col min="4" max="4" width="27.109375" style="2" bestFit="1" customWidth="1"/>
    <col min="5" max="5" width="14.44140625" style="4" customWidth="1"/>
    <col min="6" max="6" width="11.33203125" style="4" bestFit="1" customWidth="1"/>
    <col min="7" max="7" width="64.44140625" style="69" bestFit="1" customWidth="1"/>
    <col min="8" max="8" width="89" style="69" customWidth="1"/>
    <col min="9" max="9" width="29.21875" style="2" customWidth="1"/>
    <col min="10" max="11" width="9.5546875" style="42" bestFit="1" customWidth="1"/>
    <col min="12" max="12" width="9.5546875" style="2" bestFit="1" customWidth="1"/>
    <col min="13" max="16384" width="8.88671875" style="1"/>
  </cols>
  <sheetData>
    <row r="1" spans="2:12" ht="14.4" thickBot="1" x14ac:dyDescent="0.3"/>
    <row r="2" spans="2:12" ht="30" customHeight="1" x14ac:dyDescent="0.25">
      <c r="B2" s="109" t="s">
        <v>14</v>
      </c>
      <c r="C2" s="110"/>
      <c r="D2" s="124" t="s">
        <v>6</v>
      </c>
      <c r="E2" s="125"/>
      <c r="F2" s="125"/>
      <c r="G2" s="125"/>
      <c r="H2" s="125"/>
      <c r="I2" s="126"/>
      <c r="J2" s="133" t="s">
        <v>15</v>
      </c>
      <c r="K2" s="133" t="s">
        <v>16</v>
      </c>
      <c r="L2" s="122" t="s">
        <v>17</v>
      </c>
    </row>
    <row r="3" spans="2:12" ht="19.95" customHeight="1" x14ac:dyDescent="0.25">
      <c r="B3" s="111"/>
      <c r="C3" s="112"/>
      <c r="D3" s="129" t="s">
        <v>5</v>
      </c>
      <c r="E3" s="127" t="s">
        <v>7</v>
      </c>
      <c r="F3" s="128"/>
      <c r="G3" s="84" t="s">
        <v>64</v>
      </c>
      <c r="H3" s="84" t="s">
        <v>84</v>
      </c>
      <c r="I3" s="131" t="s">
        <v>63</v>
      </c>
      <c r="J3" s="134"/>
      <c r="K3" s="134"/>
      <c r="L3" s="123"/>
    </row>
    <row r="4" spans="2:12" ht="19.95" customHeight="1" thickBot="1" x14ac:dyDescent="0.3">
      <c r="B4" s="111"/>
      <c r="C4" s="112"/>
      <c r="D4" s="130"/>
      <c r="E4" s="5" t="s">
        <v>10</v>
      </c>
      <c r="F4" s="5" t="s">
        <v>11</v>
      </c>
      <c r="G4" s="85"/>
      <c r="H4" s="85"/>
      <c r="I4" s="132"/>
      <c r="J4" s="134"/>
      <c r="K4" s="134"/>
      <c r="L4" s="123"/>
    </row>
    <row r="5" spans="2:12" ht="30" customHeight="1" x14ac:dyDescent="0.25">
      <c r="B5" s="119" t="s">
        <v>0</v>
      </c>
      <c r="C5" s="106">
        <v>46248</v>
      </c>
      <c r="D5" s="6" t="s">
        <v>8</v>
      </c>
      <c r="E5" s="7">
        <v>0.4375</v>
      </c>
      <c r="F5" s="7">
        <v>0.59027777777777779</v>
      </c>
      <c r="G5" s="70" t="s">
        <v>66</v>
      </c>
      <c r="H5" s="70" t="s">
        <v>89</v>
      </c>
      <c r="I5" s="8" t="s">
        <v>19</v>
      </c>
      <c r="J5" s="43">
        <v>58</v>
      </c>
      <c r="K5" s="43">
        <v>63</v>
      </c>
      <c r="L5" s="9" t="s">
        <v>18</v>
      </c>
    </row>
    <row r="6" spans="2:12" ht="30" customHeight="1" x14ac:dyDescent="0.25">
      <c r="B6" s="120"/>
      <c r="C6" s="107"/>
      <c r="D6" s="38" t="s">
        <v>61</v>
      </c>
      <c r="E6" s="39" t="s">
        <v>23</v>
      </c>
      <c r="F6" s="39" t="s">
        <v>23</v>
      </c>
      <c r="G6" s="71" t="s">
        <v>65</v>
      </c>
      <c r="H6" s="71" t="s">
        <v>77</v>
      </c>
      <c r="I6" s="40" t="s">
        <v>24</v>
      </c>
      <c r="J6" s="44">
        <f>3.7+1.7+4.5+10.9+6.9</f>
        <v>27.700000000000003</v>
      </c>
      <c r="K6" s="44">
        <f>J6</f>
        <v>27.700000000000003</v>
      </c>
      <c r="L6" s="41" t="s">
        <v>23</v>
      </c>
    </row>
    <row r="7" spans="2:12" ht="30" customHeight="1" x14ac:dyDescent="0.25">
      <c r="B7" s="121"/>
      <c r="C7" s="108"/>
      <c r="D7" s="10" t="s">
        <v>61</v>
      </c>
      <c r="E7" s="11" t="s">
        <v>3</v>
      </c>
      <c r="F7" s="11" t="s">
        <v>3</v>
      </c>
      <c r="G7" s="71" t="s">
        <v>3</v>
      </c>
      <c r="H7" s="71" t="s">
        <v>3</v>
      </c>
      <c r="I7" s="10" t="s">
        <v>54</v>
      </c>
      <c r="J7" s="45">
        <v>100</v>
      </c>
      <c r="K7" s="45">
        <v>100</v>
      </c>
      <c r="L7" s="12" t="s">
        <v>18</v>
      </c>
    </row>
    <row r="8" spans="2:12" ht="30" customHeight="1" x14ac:dyDescent="0.25">
      <c r="B8" s="115" t="s">
        <v>13</v>
      </c>
      <c r="C8" s="116">
        <v>46249</v>
      </c>
      <c r="D8" s="13" t="s">
        <v>9</v>
      </c>
      <c r="E8" s="14">
        <v>0.3611111111111111</v>
      </c>
      <c r="F8" s="14" t="s">
        <v>27</v>
      </c>
      <c r="G8" s="72" t="s">
        <v>67</v>
      </c>
      <c r="H8" s="72" t="s">
        <v>78</v>
      </c>
      <c r="I8" s="15" t="s">
        <v>19</v>
      </c>
      <c r="J8" s="46">
        <v>144</v>
      </c>
      <c r="K8" s="46">
        <v>149</v>
      </c>
      <c r="L8" s="16" t="s">
        <v>18</v>
      </c>
    </row>
    <row r="9" spans="2:12" ht="30" customHeight="1" x14ac:dyDescent="0.25">
      <c r="B9" s="115"/>
      <c r="C9" s="116"/>
      <c r="D9" s="15" t="s">
        <v>62</v>
      </c>
      <c r="E9" s="15" t="s">
        <v>3</v>
      </c>
      <c r="F9" s="15" t="s">
        <v>3</v>
      </c>
      <c r="G9" s="73" t="s">
        <v>76</v>
      </c>
      <c r="H9" s="73" t="s">
        <v>80</v>
      </c>
      <c r="I9" s="15" t="s">
        <v>20</v>
      </c>
      <c r="J9" s="46">
        <f>10+2+5+10.3+37+2</f>
        <v>66.3</v>
      </c>
      <c r="K9" s="46">
        <f>J9</f>
        <v>66.3</v>
      </c>
      <c r="L9" s="16" t="s">
        <v>3</v>
      </c>
    </row>
    <row r="10" spans="2:12" ht="30" customHeight="1" x14ac:dyDescent="0.25">
      <c r="B10" s="115"/>
      <c r="C10" s="116"/>
      <c r="D10" s="13" t="s">
        <v>26</v>
      </c>
      <c r="E10" s="14">
        <v>0.36458333333333331</v>
      </c>
      <c r="F10" s="14" t="s">
        <v>28</v>
      </c>
      <c r="G10" s="72" t="s">
        <v>68</v>
      </c>
      <c r="H10" s="72" t="s">
        <v>81</v>
      </c>
      <c r="I10" s="15" t="s">
        <v>32</v>
      </c>
      <c r="J10" s="46">
        <v>206</v>
      </c>
      <c r="K10" s="46">
        <v>206</v>
      </c>
      <c r="L10" s="16" t="s">
        <v>18</v>
      </c>
    </row>
    <row r="11" spans="2:12" ht="30" customHeight="1" x14ac:dyDescent="0.25">
      <c r="B11" s="117" t="s">
        <v>1</v>
      </c>
      <c r="C11" s="118">
        <v>46250</v>
      </c>
      <c r="D11" s="17" t="s">
        <v>29</v>
      </c>
      <c r="E11" s="18">
        <v>0.41666666666666669</v>
      </c>
      <c r="F11" s="18">
        <v>0.66666666666666663</v>
      </c>
      <c r="G11" s="74" t="s">
        <v>82</v>
      </c>
      <c r="H11" s="74" t="s">
        <v>79</v>
      </c>
      <c r="I11" s="19" t="s">
        <v>24</v>
      </c>
      <c r="J11" s="47">
        <f>13.9+2+6+3+9.9+5+14.9+9.5+2</f>
        <v>66.199999999999989</v>
      </c>
      <c r="K11" s="47">
        <f>J11</f>
        <v>66.199999999999989</v>
      </c>
      <c r="L11" s="20" t="s">
        <v>23</v>
      </c>
    </row>
    <row r="12" spans="2:12" ht="30" customHeight="1" x14ac:dyDescent="0.25">
      <c r="B12" s="117"/>
      <c r="C12" s="118"/>
      <c r="D12" s="17" t="s">
        <v>30</v>
      </c>
      <c r="E12" s="18">
        <v>0.93680555555555556</v>
      </c>
      <c r="F12" s="18" t="s">
        <v>31</v>
      </c>
      <c r="G12" s="74" t="s">
        <v>3</v>
      </c>
      <c r="H12" s="74" t="s">
        <v>3</v>
      </c>
      <c r="I12" s="19" t="s">
        <v>33</v>
      </c>
      <c r="J12" s="47">
        <v>115</v>
      </c>
      <c r="K12" s="47">
        <v>115</v>
      </c>
      <c r="L12" s="20" t="s">
        <v>18</v>
      </c>
    </row>
    <row r="13" spans="2:12" ht="30" customHeight="1" x14ac:dyDescent="0.25">
      <c r="B13" s="97" t="s">
        <v>21</v>
      </c>
      <c r="C13" s="100">
        <v>46251</v>
      </c>
      <c r="D13" s="21" t="s">
        <v>34</v>
      </c>
      <c r="E13" s="22" t="s">
        <v>3</v>
      </c>
      <c r="F13" s="22" t="s">
        <v>3</v>
      </c>
      <c r="G13" s="75" t="s">
        <v>69</v>
      </c>
      <c r="H13" s="75" t="s">
        <v>88</v>
      </c>
      <c r="I13" s="23" t="s">
        <v>35</v>
      </c>
      <c r="J13" s="48">
        <f>70+59</f>
        <v>129</v>
      </c>
      <c r="K13" s="48">
        <f>J13</f>
        <v>129</v>
      </c>
      <c r="L13" s="24" t="s">
        <v>36</v>
      </c>
    </row>
    <row r="14" spans="2:12" ht="30" customHeight="1" x14ac:dyDescent="0.25">
      <c r="B14" s="98"/>
      <c r="C14" s="101"/>
      <c r="D14" s="23" t="s">
        <v>60</v>
      </c>
      <c r="E14" s="54" t="s">
        <v>23</v>
      </c>
      <c r="F14" s="23" t="s">
        <v>23</v>
      </c>
      <c r="G14" s="76" t="s">
        <v>70</v>
      </c>
      <c r="H14" s="76" t="s">
        <v>83</v>
      </c>
      <c r="I14" s="23" t="s">
        <v>44</v>
      </c>
      <c r="J14" s="48">
        <f>40+49</f>
        <v>89</v>
      </c>
      <c r="K14" s="48">
        <f>J14</f>
        <v>89</v>
      </c>
      <c r="L14" s="24" t="s">
        <v>23</v>
      </c>
    </row>
    <row r="15" spans="2:12" ht="30" customHeight="1" x14ac:dyDescent="0.25">
      <c r="B15" s="98"/>
      <c r="C15" s="101"/>
      <c r="D15" s="23" t="s">
        <v>39</v>
      </c>
      <c r="E15" s="54" t="s">
        <v>23</v>
      </c>
      <c r="F15" s="23" t="s">
        <v>23</v>
      </c>
      <c r="G15" s="76" t="s">
        <v>71</v>
      </c>
      <c r="H15" s="76" t="s">
        <v>90</v>
      </c>
      <c r="I15" s="23" t="s">
        <v>24</v>
      </c>
      <c r="J15" s="48">
        <f>8.5+9+5+8+5.68</f>
        <v>36.18</v>
      </c>
      <c r="K15" s="48">
        <f>J15</f>
        <v>36.18</v>
      </c>
      <c r="L15" s="24" t="s">
        <v>23</v>
      </c>
    </row>
    <row r="16" spans="2:12" ht="30" customHeight="1" x14ac:dyDescent="0.25">
      <c r="B16" s="99"/>
      <c r="C16" s="102"/>
      <c r="D16" s="23" t="s">
        <v>39</v>
      </c>
      <c r="E16" s="54" t="s">
        <v>23</v>
      </c>
      <c r="F16" s="23" t="s">
        <v>23</v>
      </c>
      <c r="G16" s="76" t="s">
        <v>3</v>
      </c>
      <c r="H16" s="76" t="s">
        <v>3</v>
      </c>
      <c r="I16" s="23" t="s">
        <v>42</v>
      </c>
      <c r="J16" s="48">
        <v>87</v>
      </c>
      <c r="K16" s="48">
        <v>87</v>
      </c>
      <c r="L16" s="24" t="s">
        <v>36</v>
      </c>
    </row>
    <row r="17" spans="2:12" ht="30" customHeight="1" x14ac:dyDescent="0.25">
      <c r="B17" s="113" t="s">
        <v>2</v>
      </c>
      <c r="C17" s="114">
        <v>46252</v>
      </c>
      <c r="D17" s="25" t="s">
        <v>39</v>
      </c>
      <c r="E17" s="26" t="s">
        <v>23</v>
      </c>
      <c r="F17" s="26" t="s">
        <v>23</v>
      </c>
      <c r="G17" s="77" t="s">
        <v>72</v>
      </c>
      <c r="H17" s="77" t="s">
        <v>91</v>
      </c>
      <c r="I17" s="27" t="s">
        <v>24</v>
      </c>
      <c r="J17" s="49">
        <f>1+15.9+1+5+6+17+1+4+10</f>
        <v>60.9</v>
      </c>
      <c r="K17" s="49">
        <f>J17</f>
        <v>60.9</v>
      </c>
      <c r="L17" s="28" t="s">
        <v>23</v>
      </c>
    </row>
    <row r="18" spans="2:12" ht="30" customHeight="1" x14ac:dyDescent="0.25">
      <c r="B18" s="113"/>
      <c r="C18" s="114"/>
      <c r="D18" s="25" t="s">
        <v>40</v>
      </c>
      <c r="E18" s="26">
        <v>0.92708333333333337</v>
      </c>
      <c r="F18" s="26" t="s">
        <v>41</v>
      </c>
      <c r="G18" s="77" t="s">
        <v>3</v>
      </c>
      <c r="H18" s="77" t="s">
        <v>3</v>
      </c>
      <c r="I18" s="27" t="s">
        <v>43</v>
      </c>
      <c r="J18" s="49">
        <v>144</v>
      </c>
      <c r="K18" s="49">
        <v>144</v>
      </c>
      <c r="L18" s="28" t="s">
        <v>36</v>
      </c>
    </row>
    <row r="19" spans="2:12" ht="30" customHeight="1" x14ac:dyDescent="0.25">
      <c r="B19" s="103" t="s">
        <v>38</v>
      </c>
      <c r="C19" s="94">
        <v>46253</v>
      </c>
      <c r="D19" s="29" t="s">
        <v>45</v>
      </c>
      <c r="E19" s="30">
        <v>0.39652777777777776</v>
      </c>
      <c r="F19" s="30">
        <v>0.47569444444444442</v>
      </c>
      <c r="G19" s="78" t="s">
        <v>73</v>
      </c>
      <c r="H19" s="78" t="s">
        <v>92</v>
      </c>
      <c r="I19" s="29" t="s">
        <v>49</v>
      </c>
      <c r="J19" s="50">
        <v>24.5</v>
      </c>
      <c r="K19" s="50">
        <v>24.5</v>
      </c>
      <c r="L19" s="31" t="s">
        <v>36</v>
      </c>
    </row>
    <row r="20" spans="2:12" ht="30" customHeight="1" x14ac:dyDescent="0.25">
      <c r="B20" s="104"/>
      <c r="C20" s="95"/>
      <c r="D20" s="29" t="s">
        <v>55</v>
      </c>
      <c r="E20" s="30" t="s">
        <v>23</v>
      </c>
      <c r="F20" s="30" t="s">
        <v>23</v>
      </c>
      <c r="G20" s="78" t="s">
        <v>74</v>
      </c>
      <c r="H20" s="78" t="s">
        <v>87</v>
      </c>
      <c r="I20" s="29" t="s">
        <v>56</v>
      </c>
      <c r="J20" s="50">
        <f>50</f>
        <v>50</v>
      </c>
      <c r="K20" s="50">
        <f>J20</f>
        <v>50</v>
      </c>
      <c r="L20" s="31" t="s">
        <v>23</v>
      </c>
    </row>
    <row r="21" spans="2:12" ht="30" customHeight="1" x14ac:dyDescent="0.25">
      <c r="B21" s="104"/>
      <c r="C21" s="95"/>
      <c r="D21" s="29" t="s">
        <v>46</v>
      </c>
      <c r="E21" s="30" t="s">
        <v>23</v>
      </c>
      <c r="F21" s="30" t="s">
        <v>23</v>
      </c>
      <c r="G21" s="78" t="s">
        <v>85</v>
      </c>
      <c r="H21" s="78" t="s">
        <v>86</v>
      </c>
      <c r="I21" s="29" t="s">
        <v>24</v>
      </c>
      <c r="J21" s="50">
        <f>9+4.5+1+13.9+9.6+1+1</f>
        <v>40</v>
      </c>
      <c r="K21" s="50">
        <f>J21</f>
        <v>40</v>
      </c>
      <c r="L21" s="31" t="s">
        <v>23</v>
      </c>
    </row>
    <row r="22" spans="2:12" ht="30" customHeight="1" x14ac:dyDescent="0.25">
      <c r="B22" s="105"/>
      <c r="C22" s="96"/>
      <c r="D22" s="29" t="s">
        <v>52</v>
      </c>
      <c r="E22" s="30">
        <v>0.97499999999999998</v>
      </c>
      <c r="F22" s="30" t="s">
        <v>47</v>
      </c>
      <c r="G22" s="78" t="s">
        <v>75</v>
      </c>
      <c r="H22" s="78" t="s">
        <v>93</v>
      </c>
      <c r="I22" s="29" t="s">
        <v>48</v>
      </c>
      <c r="J22" s="50">
        <v>206</v>
      </c>
      <c r="K22" s="50">
        <v>0</v>
      </c>
      <c r="L22" s="31" t="s">
        <v>37</v>
      </c>
    </row>
    <row r="23" spans="2:12" ht="30" customHeight="1" x14ac:dyDescent="0.25">
      <c r="B23" s="90" t="s">
        <v>53</v>
      </c>
      <c r="C23" s="92">
        <v>46254</v>
      </c>
      <c r="D23" s="53" t="s">
        <v>25</v>
      </c>
      <c r="E23" s="32" t="s">
        <v>23</v>
      </c>
      <c r="F23" s="32" t="s">
        <v>23</v>
      </c>
      <c r="G23" s="79" t="s">
        <v>94</v>
      </c>
      <c r="H23" s="79" t="s">
        <v>95</v>
      </c>
      <c r="I23" s="33" t="s">
        <v>24</v>
      </c>
      <c r="J23" s="51">
        <f>4+2+13.9+20.9+8+2+6.1</f>
        <v>56.9</v>
      </c>
      <c r="K23" s="51">
        <f>J23</f>
        <v>56.9</v>
      </c>
      <c r="L23" s="34" t="s">
        <v>23</v>
      </c>
    </row>
    <row r="24" spans="2:12" ht="30" customHeight="1" x14ac:dyDescent="0.25">
      <c r="B24" s="91"/>
      <c r="C24" s="93"/>
      <c r="D24" s="61" t="s">
        <v>22</v>
      </c>
      <c r="E24" s="62">
        <v>0.93402777777777779</v>
      </c>
      <c r="F24" s="62" t="s">
        <v>50</v>
      </c>
      <c r="G24" s="80" t="s">
        <v>3</v>
      </c>
      <c r="H24" s="80" t="s">
        <v>3</v>
      </c>
      <c r="I24" s="63" t="s">
        <v>51</v>
      </c>
      <c r="J24" s="64">
        <v>194</v>
      </c>
      <c r="K24" s="64">
        <v>194</v>
      </c>
      <c r="L24" s="34" t="s">
        <v>18</v>
      </c>
    </row>
    <row r="25" spans="2:12" ht="30" customHeight="1" x14ac:dyDescent="0.25">
      <c r="B25" s="86" t="s">
        <v>12</v>
      </c>
      <c r="C25" s="88">
        <v>46255</v>
      </c>
      <c r="D25" s="57" t="s">
        <v>57</v>
      </c>
      <c r="E25" s="58" t="s">
        <v>23</v>
      </c>
      <c r="F25" s="58" t="s">
        <v>23</v>
      </c>
      <c r="G25" s="81" t="s">
        <v>96</v>
      </c>
      <c r="H25" s="81" t="s">
        <v>97</v>
      </c>
      <c r="I25" s="59" t="s">
        <v>24</v>
      </c>
      <c r="J25" s="60">
        <f>3+5.9+46</f>
        <v>54.9</v>
      </c>
      <c r="K25" s="60">
        <f>J25</f>
        <v>54.9</v>
      </c>
      <c r="L25" s="68" t="s">
        <v>23</v>
      </c>
    </row>
    <row r="26" spans="2:12" ht="30" customHeight="1" thickBot="1" x14ac:dyDescent="0.3">
      <c r="B26" s="87"/>
      <c r="C26" s="89"/>
      <c r="D26" s="65" t="s">
        <v>58</v>
      </c>
      <c r="E26" s="66">
        <v>0.69722222222222219</v>
      </c>
      <c r="F26" s="66">
        <v>0.78541666666666665</v>
      </c>
      <c r="G26" s="82" t="s">
        <v>3</v>
      </c>
      <c r="H26" s="82" t="s">
        <v>98</v>
      </c>
      <c r="I26" s="67" t="s">
        <v>59</v>
      </c>
      <c r="J26" s="55">
        <v>138</v>
      </c>
      <c r="K26" s="55">
        <f>J26</f>
        <v>138</v>
      </c>
      <c r="L26" s="56" t="s">
        <v>18</v>
      </c>
    </row>
    <row r="27" spans="2:12" ht="19.95" customHeight="1" thickBot="1" x14ac:dyDescent="0.3">
      <c r="B27" s="3" t="s">
        <v>4</v>
      </c>
      <c r="C27" s="35"/>
      <c r="D27" s="35"/>
      <c r="E27" s="36"/>
      <c r="F27" s="36"/>
      <c r="G27" s="83"/>
      <c r="H27" s="83"/>
      <c r="I27" s="35"/>
      <c r="J27" s="52">
        <f>SUM(J5:J26)</f>
        <v>2093.5800000000004</v>
      </c>
      <c r="K27" s="52">
        <f>SUM(K5:K26)</f>
        <v>1897.5800000000004</v>
      </c>
      <c r="L27" s="37"/>
    </row>
  </sheetData>
  <mergeCells count="26">
    <mergeCell ref="C11:C12"/>
    <mergeCell ref="B5:B7"/>
    <mergeCell ref="L2:L4"/>
    <mergeCell ref="D2:I2"/>
    <mergeCell ref="E3:F3"/>
    <mergeCell ref="D3:D4"/>
    <mergeCell ref="I3:I4"/>
    <mergeCell ref="J2:J4"/>
    <mergeCell ref="K2:K4"/>
    <mergeCell ref="G3:G4"/>
    <mergeCell ref="H3:H4"/>
    <mergeCell ref="B25:B26"/>
    <mergeCell ref="C25:C26"/>
    <mergeCell ref="B23:B24"/>
    <mergeCell ref="C23:C24"/>
    <mergeCell ref="C19:C22"/>
    <mergeCell ref="B13:B16"/>
    <mergeCell ref="C13:C16"/>
    <mergeCell ref="B19:B22"/>
    <mergeCell ref="C5:C7"/>
    <mergeCell ref="B2:C4"/>
    <mergeCell ref="B17:B18"/>
    <mergeCell ref="C17:C18"/>
    <mergeCell ref="B8:B10"/>
    <mergeCell ref="C8:C10"/>
    <mergeCell ref="B11:B12"/>
  </mergeCells>
  <phoneticPr fontId="1" type="noConversion"/>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Kokomi Sangonomiya</dc:creator>
  <cp:lastModifiedBy>Kokomi Sangonomiya</cp:lastModifiedBy>
  <dcterms:created xsi:type="dcterms:W3CDTF">2026-06-26T14:25:05Z</dcterms:created>
  <dcterms:modified xsi:type="dcterms:W3CDTF">2026-08-24T05:54:25Z</dcterms:modified>
</cp:coreProperties>
</file>