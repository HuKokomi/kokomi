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okomi_blog\static\work\20260712_wgxgl\"/>
    </mc:Choice>
  </mc:AlternateContent>
  <xr:revisionPtr revIDLastSave="0" documentId="8_{5CC4AD00-FFC6-4EA3-BA7E-ADC4CE5918A0}" xr6:coauthVersionLast="47" xr6:coauthVersionMax="47" xr10:uidLastSave="{00000000-0000-0000-0000-000000000000}"/>
  <bookViews>
    <workbookView xWindow="-108" yWindow="-108" windowWidth="23256" windowHeight="12456" xr2:uid="{85644D13-C3BE-474F-AFFE-785F0496A3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1" i="1" l="1"/>
  <c r="G41" i="1"/>
  <c r="H42" i="1"/>
  <c r="H43" i="1" s="1"/>
  <c r="G42" i="1"/>
</calcChain>
</file>

<file path=xl/sharedStrings.xml><?xml version="1.0" encoding="utf-8"?>
<sst xmlns="http://schemas.openxmlformats.org/spreadsheetml/2006/main" count="137" uniqueCount="94">
  <si>
    <t>DAY1</t>
    <phoneticPr fontId="1" type="noConversion"/>
  </si>
  <si>
    <t>DAY2</t>
  </si>
  <si>
    <t>DAY3</t>
  </si>
  <si>
    <t>DAY4</t>
  </si>
  <si>
    <t>DAY5</t>
  </si>
  <si>
    <t>DAY6</t>
  </si>
  <si>
    <t>23:07 - 9:18(+1)</t>
    <phoneticPr fontId="1" type="noConversion"/>
  </si>
  <si>
    <t>/</t>
    <phoneticPr fontId="1" type="noConversion"/>
  </si>
  <si>
    <t>17:54 - 18:26</t>
    <phoneticPr fontId="1" type="noConversion"/>
  </si>
  <si>
    <t>DAY7</t>
    <phoneticPr fontId="1" type="noConversion"/>
  </si>
  <si>
    <t>6:10 - 7:00</t>
    <phoneticPr fontId="1" type="noConversion"/>
  </si>
  <si>
    <r>
      <rPr>
        <b/>
        <sz val="14"/>
        <color theme="1"/>
        <rFont val="楷体_GB2312"/>
        <family val="3"/>
        <charset val="134"/>
      </rPr>
      <t>行程</t>
    </r>
    <phoneticPr fontId="1" type="noConversion"/>
  </si>
  <si>
    <r>
      <rPr>
        <b/>
        <sz val="14"/>
        <color theme="1"/>
        <rFont val="楷体_GB2312"/>
        <family val="3"/>
        <charset val="134"/>
      </rPr>
      <t>车次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楷体_GB2312"/>
        <family val="3"/>
        <charset val="134"/>
      </rPr>
      <t>住址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楷体_GB2312"/>
        <family val="3"/>
        <charset val="134"/>
      </rPr>
      <t>详情</t>
    </r>
    <r>
      <rPr>
        <b/>
        <sz val="14"/>
        <color theme="1"/>
        <rFont val="Times New Roman"/>
        <family val="1"/>
      </rPr>
      <t>/</t>
    </r>
    <r>
      <rPr>
        <b/>
        <sz val="14"/>
        <color theme="1"/>
        <rFont val="楷体_GB2312"/>
        <family val="3"/>
        <charset val="134"/>
      </rPr>
      <t>明细</t>
    </r>
    <phoneticPr fontId="1" type="noConversion"/>
  </si>
  <si>
    <r>
      <rPr>
        <b/>
        <sz val="14"/>
        <color theme="1"/>
        <rFont val="楷体_GB2312"/>
        <family val="3"/>
        <charset val="134"/>
      </rPr>
      <t>时间</t>
    </r>
    <phoneticPr fontId="1" type="noConversion"/>
  </si>
  <si>
    <r>
      <rPr>
        <b/>
        <sz val="14"/>
        <color theme="1"/>
        <rFont val="楷体_GB2312"/>
        <family val="3"/>
        <charset val="134"/>
      </rPr>
      <t>费用</t>
    </r>
    <phoneticPr fontId="1" type="noConversion"/>
  </si>
  <si>
    <r>
      <rPr>
        <b/>
        <sz val="14"/>
        <color theme="1"/>
        <rFont val="楷体_GB2312"/>
        <family val="3"/>
        <charset val="134"/>
      </rPr>
      <t>实付</t>
    </r>
    <phoneticPr fontId="1" type="noConversion"/>
  </si>
  <si>
    <r>
      <rPr>
        <b/>
        <sz val="14"/>
        <color theme="1"/>
        <rFont val="楷体_GB2312"/>
        <family val="3"/>
        <charset val="134"/>
      </rPr>
      <t>备注</t>
    </r>
    <phoneticPr fontId="1" type="noConversion"/>
  </si>
  <si>
    <r>
      <rPr>
        <sz val="11"/>
        <color theme="1"/>
        <rFont val="宋体"/>
        <family val="3"/>
        <charset val="134"/>
      </rPr>
      <t>滁州北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南昌</t>
    </r>
    <phoneticPr fontId="1" type="noConversion"/>
  </si>
  <si>
    <r>
      <t>K161</t>
    </r>
    <r>
      <rPr>
        <sz val="11"/>
        <color theme="1"/>
        <rFont val="宋体"/>
        <family val="3"/>
        <charset val="134"/>
      </rPr>
      <t>（卧）</t>
    </r>
    <phoneticPr fontId="1" type="noConversion"/>
  </si>
  <si>
    <r>
      <rPr>
        <sz val="11"/>
        <color theme="1"/>
        <rFont val="宋体"/>
        <family val="3"/>
        <charset val="134"/>
      </rPr>
      <t>南昌东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景德镇北</t>
    </r>
    <phoneticPr fontId="1" type="noConversion"/>
  </si>
  <si>
    <r>
      <rPr>
        <sz val="11"/>
        <color theme="1"/>
        <rFont val="宋体"/>
        <family val="3"/>
        <charset val="134"/>
      </rPr>
      <t>景德镇北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黟县东</t>
    </r>
    <phoneticPr fontId="1" type="noConversion"/>
  </si>
  <si>
    <r>
      <t>G3072</t>
    </r>
    <r>
      <rPr>
        <sz val="11"/>
        <color theme="1"/>
        <rFont val="宋体"/>
        <family val="3"/>
        <charset val="134"/>
      </rPr>
      <t>（坐二）</t>
    </r>
    <phoneticPr fontId="1" type="noConversion"/>
  </si>
  <si>
    <r>
      <rPr>
        <sz val="11"/>
        <color theme="1"/>
        <rFont val="宋体"/>
        <family val="3"/>
        <charset val="134"/>
      </rPr>
      <t>西递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宏村</t>
    </r>
    <phoneticPr fontId="1" type="noConversion"/>
  </si>
  <si>
    <r>
      <rPr>
        <sz val="11"/>
        <color theme="1"/>
        <rFont val="宋体"/>
        <family val="3"/>
        <charset val="134"/>
      </rPr>
      <t>旅游专线</t>
    </r>
    <phoneticPr fontId="1" type="noConversion"/>
  </si>
  <si>
    <r>
      <rPr>
        <sz val="11"/>
        <color theme="1"/>
        <rFont val="宋体"/>
        <family val="3"/>
        <charset val="134"/>
      </rPr>
      <t>宏村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黄山风景区</t>
    </r>
    <phoneticPr fontId="1" type="noConversion"/>
  </si>
  <si>
    <r>
      <rPr>
        <sz val="11"/>
        <color theme="1"/>
        <rFont val="宋体"/>
        <family val="3"/>
        <charset val="134"/>
      </rPr>
      <t>黄山风景区（汤口）</t>
    </r>
    <phoneticPr fontId="1" type="noConversion"/>
  </si>
  <si>
    <r>
      <rPr>
        <sz val="11"/>
        <color theme="1"/>
        <rFont val="宋体"/>
        <family val="3"/>
        <charset val="134"/>
      </rPr>
      <t>黄山云坊客舍</t>
    </r>
    <phoneticPr fontId="1" type="noConversion"/>
  </si>
  <si>
    <r>
      <rPr>
        <sz val="11"/>
        <color theme="1"/>
        <rFont val="宋体"/>
        <family val="3"/>
        <charset val="134"/>
      </rPr>
      <t>黄山风景区</t>
    </r>
  </si>
  <si>
    <r>
      <rPr>
        <sz val="11"/>
        <color theme="1"/>
        <rFont val="宋体"/>
        <family val="3"/>
        <charset val="134"/>
      </rPr>
      <t>南京南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滁州</t>
    </r>
    <phoneticPr fontId="1" type="noConversion"/>
  </si>
  <si>
    <r>
      <rPr>
        <b/>
        <sz val="14"/>
        <color theme="1"/>
        <rFont val="楷体_GB2312"/>
        <family val="3"/>
        <charset val="134"/>
      </rPr>
      <t>日程</t>
    </r>
    <phoneticPr fontId="1" type="noConversion"/>
  </si>
  <si>
    <r>
      <rPr>
        <sz val="11"/>
        <color theme="1"/>
        <rFont val="宋体"/>
        <family val="3"/>
        <charset val="134"/>
      </rPr>
      <t>玉屏索道下山</t>
    </r>
    <phoneticPr fontId="1" type="noConversion"/>
  </si>
  <si>
    <r>
      <t>G5016</t>
    </r>
    <r>
      <rPr>
        <sz val="11"/>
        <color theme="1"/>
        <rFont val="宋体"/>
        <family val="3"/>
        <charset val="134"/>
      </rPr>
      <t>（坐二）</t>
    </r>
    <phoneticPr fontId="1" type="noConversion"/>
  </si>
  <si>
    <t>11:00 - 13:00</t>
    <phoneticPr fontId="1" type="noConversion"/>
  </si>
  <si>
    <t>17:59 - 18:55</t>
    <phoneticPr fontId="1" type="noConversion"/>
  </si>
  <si>
    <t>黄山南大门换乘中心</t>
    <phoneticPr fontId="1" type="noConversion"/>
  </si>
  <si>
    <r>
      <t>G646</t>
    </r>
    <r>
      <rPr>
        <sz val="11"/>
        <color theme="1"/>
        <rFont val="宋体"/>
        <family val="3"/>
        <charset val="134"/>
      </rPr>
      <t>（坐二）</t>
    </r>
    <phoneticPr fontId="1" type="noConversion"/>
  </si>
  <si>
    <t>19:18 - 19:36</t>
    <phoneticPr fontId="1" type="noConversion"/>
  </si>
  <si>
    <t>14:30 - 18:00</t>
    <phoneticPr fontId="1" type="noConversion"/>
  </si>
  <si>
    <t>黄山风景区（汤口）</t>
    <phoneticPr fontId="1" type="noConversion"/>
  </si>
  <si>
    <r>
      <rPr>
        <sz val="11"/>
        <color theme="1"/>
        <rFont val="宋体"/>
        <family val="3"/>
        <charset val="134"/>
      </rPr>
      <t>滁州北</t>
    </r>
    <phoneticPr fontId="1" type="noConversion"/>
  </si>
  <si>
    <r>
      <t>04</t>
    </r>
    <r>
      <rPr>
        <sz val="11"/>
        <color theme="1"/>
        <rFont val="宋体"/>
        <family val="3"/>
        <charset val="134"/>
      </rPr>
      <t>车</t>
    </r>
    <r>
      <rPr>
        <sz val="11"/>
        <color theme="1"/>
        <rFont val="Times New Roman"/>
        <family val="1"/>
      </rPr>
      <t>01</t>
    </r>
    <r>
      <rPr>
        <sz val="11"/>
        <color theme="1"/>
        <rFont val="宋体"/>
        <family val="3"/>
        <charset val="134"/>
      </rPr>
      <t>号上铺</t>
    </r>
  </si>
  <si>
    <r>
      <rPr>
        <sz val="11"/>
        <color theme="1"/>
        <rFont val="宋体"/>
        <family val="3"/>
        <charset val="134"/>
      </rPr>
      <t>南昌地铁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号线（南昌站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阳明公园）</t>
    </r>
    <phoneticPr fontId="1" type="noConversion"/>
  </si>
  <si>
    <r>
      <rPr>
        <sz val="11"/>
        <color theme="1"/>
        <rFont val="宋体"/>
        <family val="3"/>
        <charset val="134"/>
      </rPr>
      <t>铁路积分兑换</t>
    </r>
  </si>
  <si>
    <r>
      <rPr>
        <sz val="11"/>
        <color theme="1"/>
        <rFont val="宋体"/>
        <family val="3"/>
        <charset val="134"/>
      </rPr>
      <t>景德镇</t>
    </r>
    <phoneticPr fontId="1" type="noConversion"/>
  </si>
  <si>
    <r>
      <rPr>
        <sz val="11"/>
        <color theme="1"/>
        <rFont val="宋体"/>
        <family val="3"/>
        <charset val="134"/>
      </rPr>
      <t>景区门票（含意外伤亡险）</t>
    </r>
    <phoneticPr fontId="1" type="noConversion"/>
  </si>
  <si>
    <r>
      <t>7</t>
    </r>
    <r>
      <rPr>
        <sz val="11"/>
        <color theme="1"/>
        <rFont val="宋体"/>
        <family val="3"/>
        <charset val="134"/>
      </rPr>
      <t>月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日</t>
    </r>
    <r>
      <rPr>
        <sz val="11"/>
        <color theme="1"/>
        <rFont val="Times New Roman"/>
        <family val="1"/>
      </rPr>
      <t>21:00</t>
    </r>
    <r>
      <rPr>
        <sz val="11"/>
        <color theme="1"/>
        <rFont val="宋体"/>
        <family val="3"/>
        <charset val="134"/>
      </rPr>
      <t>开放预约</t>
    </r>
    <phoneticPr fontId="1" type="noConversion"/>
  </si>
  <si>
    <r>
      <rPr>
        <sz val="11"/>
        <color theme="1"/>
        <rFont val="宋体"/>
        <family val="3"/>
        <charset val="134"/>
      </rPr>
      <t>大巴（黄山南大门换乘中心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南京南站）</t>
    </r>
    <phoneticPr fontId="1" type="noConversion"/>
  </si>
  <si>
    <r>
      <t>05</t>
    </r>
    <r>
      <rPr>
        <sz val="11"/>
        <color theme="1"/>
        <rFont val="宋体"/>
        <family val="3"/>
        <charset val="134"/>
      </rPr>
      <t>车</t>
    </r>
    <r>
      <rPr>
        <sz val="11"/>
        <color theme="1"/>
        <rFont val="Times New Roman"/>
        <family val="1"/>
      </rPr>
      <t>06D</t>
    </r>
    <phoneticPr fontId="1" type="noConversion"/>
  </si>
  <si>
    <t>07车05A号</t>
  </si>
  <si>
    <t>07车06F号</t>
  </si>
  <si>
    <t>单间</t>
    <phoneticPr fontId="1" type="noConversion"/>
  </si>
  <si>
    <r>
      <rPr>
        <sz val="11"/>
        <color theme="1"/>
        <rFont val="Times New Roman"/>
        <family val="3"/>
      </rPr>
      <t>7</t>
    </r>
    <r>
      <rPr>
        <sz val="11"/>
        <color theme="1"/>
        <rFont val="宋体"/>
        <family val="3"/>
        <charset val="134"/>
      </rPr>
      <t>月6日开放预定</t>
    </r>
    <phoneticPr fontId="1" type="noConversion"/>
  </si>
  <si>
    <t>已预约</t>
    <phoneticPr fontId="1" type="noConversion"/>
  </si>
  <si>
    <t>安心小苑（景德镇御窑厂店）</t>
    <phoneticPr fontId="1" type="noConversion"/>
  </si>
  <si>
    <t>8:00 - 12:00</t>
    <phoneticPr fontId="1" type="noConversion"/>
  </si>
  <si>
    <t>青岚舍客栈（西递景区店）</t>
    <phoneticPr fontId="1" type="noConversion"/>
  </si>
  <si>
    <t>八一广场西侧</t>
    <phoneticPr fontId="1" type="noConversion"/>
  </si>
  <si>
    <t>9:00 - 12:00</t>
    <phoneticPr fontId="1" type="noConversion"/>
  </si>
  <si>
    <t>三运雅致酒店（南昌八一广场店）</t>
    <phoneticPr fontId="1" type="noConversion"/>
  </si>
  <si>
    <t>剩余预算</t>
    <phoneticPr fontId="1" type="noConversion"/>
  </si>
  <si>
    <t>预算总计</t>
    <phoneticPr fontId="1" type="noConversion"/>
  </si>
  <si>
    <r>
      <rPr>
        <sz val="11"/>
        <rFont val="宋体"/>
        <family val="3"/>
        <charset val="134"/>
      </rPr>
      <t>花费总计</t>
    </r>
    <phoneticPr fontId="1" type="noConversion"/>
  </si>
  <si>
    <t>黟县东-黟县西递</t>
    <phoneticPr fontId="1" type="noConversion"/>
  </si>
  <si>
    <t>黟县10路/黟县7路</t>
    <phoneticPr fontId="1" type="noConversion"/>
  </si>
  <si>
    <t>18:30 - 19:00</t>
    <phoneticPr fontId="1" type="noConversion"/>
  </si>
  <si>
    <t>天都峰</t>
    <phoneticPr fontId="1" type="noConversion"/>
  </si>
  <si>
    <t>16:20 - 17:10</t>
    <phoneticPr fontId="1" type="noConversion"/>
  </si>
  <si>
    <t>已预定</t>
    <phoneticPr fontId="1" type="noConversion"/>
  </si>
  <si>
    <t>南昌</t>
    <phoneticPr fontId="1" type="noConversion"/>
  </si>
  <si>
    <r>
      <rPr>
        <sz val="11"/>
        <color theme="1"/>
        <rFont val="宋体"/>
        <family val="1"/>
        <charset val="134"/>
      </rPr>
      <t>景德镇</t>
    </r>
    <r>
      <rPr>
        <sz val="11"/>
        <color theme="1"/>
        <rFont val="Times New Roman"/>
        <family val="1"/>
      </rPr>
      <t>901</t>
    </r>
    <r>
      <rPr>
        <sz val="11"/>
        <color theme="1"/>
        <rFont val="宋体"/>
        <family val="1"/>
        <charset val="134"/>
      </rPr>
      <t>夜路/3路</t>
    </r>
    <phoneticPr fontId="1" type="noConversion"/>
  </si>
  <si>
    <t>其他花费</t>
    <phoneticPr fontId="1" type="noConversion"/>
  </si>
  <si>
    <t>生活花销</t>
    <phoneticPr fontId="1" type="noConversion"/>
  </si>
  <si>
    <t>交通花销（非规划公共交通）</t>
    <phoneticPr fontId="1" type="noConversion"/>
  </si>
  <si>
    <t>购物花销</t>
    <phoneticPr fontId="1" type="noConversion"/>
  </si>
  <si>
    <t>景德镇-抚州弄</t>
    <phoneticPr fontId="1" type="noConversion"/>
  </si>
  <si>
    <t>景德镇-中国陶瓷博物馆</t>
    <phoneticPr fontId="1" type="noConversion"/>
  </si>
  <si>
    <t>南昌-江西省美术馆</t>
    <phoneticPr fontId="1" type="noConversion"/>
  </si>
  <si>
    <t>南昌-大士院</t>
    <phoneticPr fontId="1" type="noConversion"/>
  </si>
  <si>
    <t>黟县西递</t>
    <phoneticPr fontId="1" type="noConversion"/>
  </si>
  <si>
    <t>景德镇-陶溪川文创街区</t>
    <phoneticPr fontId="1" type="noConversion"/>
  </si>
  <si>
    <t>景德镇-雕塑瓷厂</t>
    <phoneticPr fontId="1" type="noConversion"/>
  </si>
  <si>
    <t>景德镇-陶阳新村</t>
    <phoneticPr fontId="1" type="noConversion"/>
  </si>
  <si>
    <t>景德镇-古窑民俗博览区</t>
    <phoneticPr fontId="1" type="noConversion"/>
  </si>
  <si>
    <r>
      <rPr>
        <sz val="11"/>
        <color theme="1"/>
        <rFont val="宋体"/>
        <family val="1"/>
        <charset val="134"/>
      </rPr>
      <t>景德镇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1"/>
        <charset val="134"/>
      </rPr>
      <t>路</t>
    </r>
    <phoneticPr fontId="1" type="noConversion"/>
  </si>
  <si>
    <t>共享单车</t>
    <phoneticPr fontId="1" type="noConversion"/>
  </si>
  <si>
    <t>景德镇33路</t>
    <phoneticPr fontId="1" type="noConversion"/>
  </si>
  <si>
    <r>
      <rPr>
        <sz val="11"/>
        <color theme="1"/>
        <rFont val="宋体"/>
        <family val="1"/>
        <charset val="134"/>
      </rPr>
      <t>南昌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1"/>
        <charset val="134"/>
      </rPr>
      <t>八一广场</t>
    </r>
    <phoneticPr fontId="1" type="noConversion"/>
  </si>
  <si>
    <t>南昌-八一起义纪念馆</t>
    <phoneticPr fontId="1" type="noConversion"/>
  </si>
  <si>
    <t>13:00 - 14:00</t>
    <phoneticPr fontId="1" type="noConversion"/>
  </si>
  <si>
    <t>滕王阁</t>
    <phoneticPr fontId="1" type="noConversion"/>
  </si>
  <si>
    <r>
      <rPr>
        <sz val="11"/>
        <color theme="1"/>
        <rFont val="宋体"/>
        <family val="1"/>
        <charset val="134"/>
      </rPr>
      <t>南昌地铁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号线（珠江路-滕王阁）</t>
    </r>
    <phoneticPr fontId="1" type="noConversion"/>
  </si>
  <si>
    <t>南昌-江西省科技馆</t>
  </si>
  <si>
    <t>/</t>
  </si>
  <si>
    <t>南昌-秋水广场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</si>
</sst>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4"/>
      <color theme="1"/>
      <name val="楷体_GB2312"/>
      <family val="3"/>
      <charset val="134"/>
    </font>
    <font>
      <b/>
      <sz val="14"/>
      <color theme="1"/>
      <name val="Times New Roman"/>
      <family val="1"/>
    </font>
    <font>
      <sz val="11"/>
      <color theme="1"/>
      <name val="Times New Roman"/>
      <family val="3"/>
    </font>
    <font>
      <sz val="11"/>
      <color theme="1"/>
      <name val="宋体"/>
      <family val="1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Times New Roman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gradientFill degree="90">
        <stop position="0">
          <color rgb="FF00FFFF"/>
        </stop>
        <stop position="1">
          <color rgb="FF66CCFF"/>
        </stop>
      </gradientFill>
    </fill>
    <fill>
      <gradientFill degree="90">
        <stop position="0">
          <color rgb="FF66CCFF"/>
        </stop>
        <stop position="1">
          <color rgb="FF9999FF"/>
        </stop>
      </gradientFill>
    </fill>
    <fill>
      <gradientFill degree="90">
        <stop position="0">
          <color rgb="FF66FF66"/>
        </stop>
        <stop position="1">
          <color rgb="FF00FFFF"/>
        </stop>
      </gradientFill>
    </fill>
    <fill>
      <gradientFill degree="90">
        <stop position="0">
          <color rgb="FFFFFF99"/>
        </stop>
        <stop position="1">
          <color rgb="FF66FF66"/>
        </stop>
      </gradientFill>
    </fill>
    <fill>
      <gradientFill degree="90">
        <stop position="0">
          <color rgb="FFFFCC66"/>
        </stop>
        <stop position="1">
          <color rgb="FFFFFF99"/>
        </stop>
      </gradientFill>
    </fill>
    <fill>
      <gradientFill degree="90">
        <stop position="0">
          <color rgb="FFFF7C80"/>
        </stop>
        <stop position="1">
          <color rgb="FFFFCC66"/>
        </stop>
      </gradientFill>
    </fill>
    <fill>
      <patternFill patternType="solid">
        <fgColor rgb="FFFFFF99"/>
        <bgColor auto="1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2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0" fontId="3" fillId="2" borderId="7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20" fontId="3" fillId="7" borderId="6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20" fontId="3" fillId="10" borderId="7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20" fontId="7" fillId="10" borderId="20" xfId="0" applyNumberFormat="1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58" fontId="3" fillId="5" borderId="3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58" fontId="3" fillId="4" borderId="3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58" fontId="3" fillId="2" borderId="15" xfId="0" applyNumberFormat="1" applyFont="1" applyFill="1" applyBorder="1" applyAlignment="1">
      <alignment horizontal="center" vertical="center"/>
    </xf>
    <xf numFmtId="58" fontId="3" fillId="2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58" fontId="3" fillId="3" borderId="3" xfId="0" applyNumberFormat="1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58" fontId="3" fillId="6" borderId="3" xfId="0" applyNumberFormat="1" applyFont="1" applyFill="1" applyBorder="1" applyAlignment="1">
      <alignment horizontal="center" vertical="center"/>
    </xf>
    <xf numFmtId="58" fontId="3" fillId="9" borderId="3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58" fontId="3" fillId="7" borderId="3" xfId="0" applyNumberFormat="1" applyFont="1" applyFill="1" applyBorder="1" applyAlignment="1">
      <alignment horizontal="center" vertical="center"/>
    </xf>
    <xf numFmtId="58" fontId="3" fillId="7" borderId="4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99"/>
      <color rgb="FF66FF66"/>
      <color rgb="FFCC99FF"/>
      <color rgb="FFFFCC66"/>
      <color rgb="FF9999FF"/>
      <color rgb="FF00FFFF"/>
      <color rgb="FFFF7C80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333D-F033-450E-96E3-37F338CC31E7}">
  <dimension ref="B1:I43"/>
  <sheetViews>
    <sheetView tabSelected="1" topLeftCell="A19" zoomScale="70" zoomScaleNormal="70" workbookViewId="0">
      <selection activeCell="B2" sqref="B2:I39"/>
    </sheetView>
  </sheetViews>
  <sheetFormatPr defaultColWidth="8.88671875" defaultRowHeight="13.8" x14ac:dyDescent="0.25"/>
  <cols>
    <col min="1" max="1" width="8.88671875" style="1"/>
    <col min="2" max="3" width="8.88671875" style="2"/>
    <col min="4" max="4" width="27.5546875" style="2" bestFit="1" customWidth="1"/>
    <col min="5" max="5" width="34" style="2" bestFit="1" customWidth="1"/>
    <col min="6" max="6" width="21.109375" style="2" customWidth="1"/>
    <col min="7" max="7" width="8.88671875" style="2"/>
    <col min="8" max="8" width="12.109375" style="2" customWidth="1"/>
    <col min="9" max="9" width="19.6640625" style="2" customWidth="1"/>
    <col min="10" max="16384" width="8.88671875" style="1"/>
  </cols>
  <sheetData>
    <row r="1" spans="2:9" ht="14.4" thickBot="1" x14ac:dyDescent="0.3"/>
    <row r="2" spans="2:9" ht="30" customHeight="1" thickBot="1" x14ac:dyDescent="0.3">
      <c r="B2" s="73" t="s">
        <v>29</v>
      </c>
      <c r="C2" s="74"/>
      <c r="D2" s="21" t="s">
        <v>11</v>
      </c>
      <c r="E2" s="21" t="s">
        <v>12</v>
      </c>
      <c r="F2" s="21" t="s">
        <v>13</v>
      </c>
      <c r="G2" s="21" t="s">
        <v>14</v>
      </c>
      <c r="H2" s="21" t="s">
        <v>15</v>
      </c>
      <c r="I2" s="22" t="s">
        <v>16</v>
      </c>
    </row>
    <row r="3" spans="2:9" ht="20.100000000000001" customHeight="1" x14ac:dyDescent="0.25">
      <c r="B3" s="95" t="s">
        <v>0</v>
      </c>
      <c r="C3" s="97">
        <v>46209</v>
      </c>
      <c r="D3" s="23" t="s">
        <v>39</v>
      </c>
      <c r="E3" s="15" t="s">
        <v>7</v>
      </c>
      <c r="F3" s="17">
        <v>0.91666666666666663</v>
      </c>
      <c r="G3" s="15">
        <v>0</v>
      </c>
      <c r="H3" s="15">
        <v>0</v>
      </c>
      <c r="I3" s="16"/>
    </row>
    <row r="4" spans="2:9" ht="19.5" customHeight="1" x14ac:dyDescent="0.25">
      <c r="B4" s="96"/>
      <c r="C4" s="98"/>
      <c r="D4" s="76" t="s">
        <v>17</v>
      </c>
      <c r="E4" s="93" t="s">
        <v>18</v>
      </c>
      <c r="F4" s="93" t="s">
        <v>6</v>
      </c>
      <c r="G4" s="93">
        <v>158</v>
      </c>
      <c r="H4" s="93">
        <v>158</v>
      </c>
      <c r="I4" s="86" t="s">
        <v>40</v>
      </c>
    </row>
    <row r="5" spans="2:9" ht="19.95" customHeight="1" x14ac:dyDescent="0.25">
      <c r="B5" s="96"/>
      <c r="C5" s="98"/>
      <c r="D5" s="76"/>
      <c r="E5" s="93"/>
      <c r="F5" s="93"/>
      <c r="G5" s="93"/>
      <c r="H5" s="93"/>
      <c r="I5" s="86"/>
    </row>
    <row r="6" spans="2:9" ht="19.95" customHeight="1" x14ac:dyDescent="0.25">
      <c r="B6" s="99" t="s">
        <v>1</v>
      </c>
      <c r="C6" s="100">
        <v>46210</v>
      </c>
      <c r="D6" s="76"/>
      <c r="E6" s="93"/>
      <c r="F6" s="93"/>
      <c r="G6" s="93"/>
      <c r="H6" s="93"/>
      <c r="I6" s="86"/>
    </row>
    <row r="7" spans="2:9" ht="19.95" customHeight="1" x14ac:dyDescent="0.25">
      <c r="B7" s="99"/>
      <c r="C7" s="100"/>
      <c r="D7" s="59" t="s">
        <v>77</v>
      </c>
      <c r="E7" s="62" t="s">
        <v>41</v>
      </c>
      <c r="F7" s="10" t="s">
        <v>7</v>
      </c>
      <c r="G7" s="10">
        <v>2</v>
      </c>
      <c r="H7" s="10">
        <v>2</v>
      </c>
      <c r="I7" s="12" t="s">
        <v>7</v>
      </c>
    </row>
    <row r="8" spans="2:9" ht="19.95" customHeight="1" x14ac:dyDescent="0.25">
      <c r="B8" s="99"/>
      <c r="C8" s="100"/>
      <c r="D8" s="64" t="s">
        <v>91</v>
      </c>
      <c r="E8" s="62"/>
      <c r="F8" s="10" t="s">
        <v>92</v>
      </c>
      <c r="G8" s="10">
        <v>0</v>
      </c>
      <c r="H8" s="10">
        <v>0</v>
      </c>
      <c r="I8" s="12" t="s">
        <v>92</v>
      </c>
    </row>
    <row r="9" spans="2:9" ht="19.95" customHeight="1" x14ac:dyDescent="0.25">
      <c r="B9" s="99"/>
      <c r="C9" s="100"/>
      <c r="D9" s="32" t="s">
        <v>93</v>
      </c>
      <c r="E9" s="10"/>
      <c r="F9" s="10"/>
      <c r="G9" s="10"/>
      <c r="H9" s="10"/>
      <c r="I9" s="36"/>
    </row>
    <row r="10" spans="2:9" ht="19.95" customHeight="1" x14ac:dyDescent="0.25">
      <c r="B10" s="99"/>
      <c r="C10" s="100"/>
      <c r="D10" s="32" t="s">
        <v>89</v>
      </c>
      <c r="E10" s="63" t="s">
        <v>90</v>
      </c>
      <c r="F10" s="10" t="s">
        <v>7</v>
      </c>
      <c r="G10" s="10">
        <v>3</v>
      </c>
      <c r="H10" s="10">
        <v>3</v>
      </c>
      <c r="I10" s="36" t="s">
        <v>7</v>
      </c>
    </row>
    <row r="11" spans="2:9" ht="19.95" customHeight="1" x14ac:dyDescent="0.25">
      <c r="B11" s="99"/>
      <c r="C11" s="100"/>
      <c r="D11" s="101" t="s">
        <v>68</v>
      </c>
      <c r="E11" s="103" t="s">
        <v>58</v>
      </c>
      <c r="F11" s="94" t="s">
        <v>7</v>
      </c>
      <c r="G11" s="94">
        <v>52</v>
      </c>
      <c r="H11" s="94">
        <v>52</v>
      </c>
      <c r="I11" s="84" t="s">
        <v>50</v>
      </c>
    </row>
    <row r="12" spans="2:9" ht="19.95" customHeight="1" x14ac:dyDescent="0.25">
      <c r="B12" s="79" t="s">
        <v>2</v>
      </c>
      <c r="C12" s="80">
        <v>46211</v>
      </c>
      <c r="D12" s="102"/>
      <c r="E12" s="94"/>
      <c r="F12" s="94"/>
      <c r="G12" s="94"/>
      <c r="H12" s="94"/>
      <c r="I12" s="85"/>
    </row>
    <row r="13" spans="2:9" ht="19.95" customHeight="1" x14ac:dyDescent="0.25">
      <c r="B13" s="79"/>
      <c r="C13" s="80"/>
      <c r="D13" s="61" t="s">
        <v>86</v>
      </c>
      <c r="E13" s="47" t="s">
        <v>7</v>
      </c>
      <c r="F13" s="45" t="s">
        <v>7</v>
      </c>
      <c r="G13" s="45">
        <v>0</v>
      </c>
      <c r="H13" s="45">
        <v>0</v>
      </c>
      <c r="I13" s="46" t="s">
        <v>7</v>
      </c>
    </row>
    <row r="14" spans="2:9" ht="19.95" customHeight="1" x14ac:dyDescent="0.25">
      <c r="B14" s="79"/>
      <c r="C14" s="80"/>
      <c r="D14" s="33" t="s">
        <v>76</v>
      </c>
      <c r="E14" s="34" t="s">
        <v>56</v>
      </c>
      <c r="F14" s="11" t="s">
        <v>57</v>
      </c>
      <c r="G14" s="11">
        <v>0</v>
      </c>
      <c r="H14" s="11">
        <v>0</v>
      </c>
      <c r="I14" s="35" t="s">
        <v>52</v>
      </c>
    </row>
    <row r="15" spans="2:9" ht="19.95" customHeight="1" x14ac:dyDescent="0.25">
      <c r="B15" s="79"/>
      <c r="C15" s="80"/>
      <c r="D15" s="33" t="s">
        <v>87</v>
      </c>
      <c r="E15" s="34" t="s">
        <v>7</v>
      </c>
      <c r="F15" s="11" t="s">
        <v>88</v>
      </c>
      <c r="G15" s="11">
        <v>0</v>
      </c>
      <c r="H15" s="11">
        <v>0</v>
      </c>
      <c r="I15" s="35" t="s">
        <v>52</v>
      </c>
    </row>
    <row r="16" spans="2:9" ht="19.95" customHeight="1" x14ac:dyDescent="0.25">
      <c r="B16" s="79"/>
      <c r="C16" s="80"/>
      <c r="D16" s="24" t="s">
        <v>19</v>
      </c>
      <c r="E16" s="11" t="s">
        <v>31</v>
      </c>
      <c r="F16" s="11" t="s">
        <v>33</v>
      </c>
      <c r="G16" s="11">
        <v>75</v>
      </c>
      <c r="H16" s="11" t="s">
        <v>42</v>
      </c>
      <c r="I16" s="13" t="s">
        <v>49</v>
      </c>
    </row>
    <row r="17" spans="2:9" ht="19.95" customHeight="1" x14ac:dyDescent="0.25">
      <c r="B17" s="79"/>
      <c r="C17" s="80"/>
      <c r="D17" s="57" t="s">
        <v>79</v>
      </c>
      <c r="E17" s="48" t="s">
        <v>69</v>
      </c>
      <c r="F17" s="11" t="s">
        <v>7</v>
      </c>
      <c r="G17" s="11">
        <v>2</v>
      </c>
      <c r="H17" s="11">
        <v>2</v>
      </c>
      <c r="I17" s="13" t="s">
        <v>7</v>
      </c>
    </row>
    <row r="18" spans="2:9" ht="19.95" customHeight="1" x14ac:dyDescent="0.25">
      <c r="B18" s="79"/>
      <c r="C18" s="80"/>
      <c r="D18" s="82" t="s">
        <v>43</v>
      </c>
      <c r="E18" s="83" t="s">
        <v>53</v>
      </c>
      <c r="F18" s="81" t="s">
        <v>7</v>
      </c>
      <c r="G18" s="81">
        <v>58.11</v>
      </c>
      <c r="H18" s="81">
        <v>58.11</v>
      </c>
      <c r="I18" s="110" t="s">
        <v>50</v>
      </c>
    </row>
    <row r="19" spans="2:9" ht="19.95" customHeight="1" x14ac:dyDescent="0.25">
      <c r="B19" s="77" t="s">
        <v>3</v>
      </c>
      <c r="C19" s="78">
        <v>46212</v>
      </c>
      <c r="D19" s="82"/>
      <c r="E19" s="81"/>
      <c r="F19" s="81"/>
      <c r="G19" s="81"/>
      <c r="H19" s="81"/>
      <c r="I19" s="111"/>
    </row>
    <row r="20" spans="2:9" ht="19.95" customHeight="1" x14ac:dyDescent="0.25">
      <c r="B20" s="77"/>
      <c r="C20" s="78"/>
      <c r="D20" s="58" t="s">
        <v>74</v>
      </c>
      <c r="E20" s="42" t="s">
        <v>7</v>
      </c>
      <c r="F20" s="3" t="s">
        <v>7</v>
      </c>
      <c r="G20" s="3">
        <v>0</v>
      </c>
      <c r="H20" s="3">
        <v>0</v>
      </c>
      <c r="I20" s="4" t="s">
        <v>7</v>
      </c>
    </row>
    <row r="21" spans="2:9" ht="19.95" customHeight="1" x14ac:dyDescent="0.25">
      <c r="B21" s="77"/>
      <c r="C21" s="78"/>
      <c r="D21" s="58" t="s">
        <v>75</v>
      </c>
      <c r="E21" s="60" t="s">
        <v>83</v>
      </c>
      <c r="F21" s="3" t="s">
        <v>54</v>
      </c>
      <c r="G21" s="3">
        <v>0</v>
      </c>
      <c r="H21" s="3">
        <v>0</v>
      </c>
      <c r="I21" s="31" t="s">
        <v>52</v>
      </c>
    </row>
    <row r="22" spans="2:9" ht="19.95" customHeight="1" x14ac:dyDescent="0.25">
      <c r="B22" s="77"/>
      <c r="C22" s="78"/>
      <c r="D22" s="58" t="s">
        <v>82</v>
      </c>
      <c r="E22" s="42" t="s">
        <v>84</v>
      </c>
      <c r="F22" s="3" t="s">
        <v>7</v>
      </c>
      <c r="G22" s="3"/>
      <c r="H22" s="3"/>
      <c r="I22" s="4" t="s">
        <v>7</v>
      </c>
    </row>
    <row r="23" spans="2:9" ht="19.8" customHeight="1" x14ac:dyDescent="0.25">
      <c r="B23" s="77"/>
      <c r="C23" s="78"/>
      <c r="D23" s="58" t="s">
        <v>80</v>
      </c>
      <c r="E23" s="42" t="s">
        <v>85</v>
      </c>
      <c r="F23" s="3" t="s">
        <v>7</v>
      </c>
      <c r="G23" s="3">
        <v>1</v>
      </c>
      <c r="H23" s="3">
        <v>1</v>
      </c>
      <c r="I23" s="31" t="s">
        <v>7</v>
      </c>
    </row>
    <row r="24" spans="2:9" ht="19.95" customHeight="1" x14ac:dyDescent="0.25">
      <c r="B24" s="77"/>
      <c r="C24" s="78"/>
      <c r="D24" s="58" t="s">
        <v>81</v>
      </c>
      <c r="E24" s="42" t="s">
        <v>7</v>
      </c>
      <c r="F24" s="3" t="s">
        <v>7</v>
      </c>
      <c r="G24" s="3">
        <v>0</v>
      </c>
      <c r="H24" s="3">
        <v>0</v>
      </c>
      <c r="I24" s="31" t="s">
        <v>7</v>
      </c>
    </row>
    <row r="25" spans="2:9" ht="19.95" customHeight="1" x14ac:dyDescent="0.25">
      <c r="B25" s="77"/>
      <c r="C25" s="78"/>
      <c r="D25" s="25" t="s">
        <v>20</v>
      </c>
      <c r="E25" s="3" t="s">
        <v>21</v>
      </c>
      <c r="F25" s="3" t="s">
        <v>8</v>
      </c>
      <c r="G25" s="3">
        <v>65</v>
      </c>
      <c r="H25" s="3" t="s">
        <v>42</v>
      </c>
      <c r="I25" s="4" t="s">
        <v>48</v>
      </c>
    </row>
    <row r="26" spans="2:9" ht="19.95" customHeight="1" x14ac:dyDescent="0.25">
      <c r="B26" s="77"/>
      <c r="C26" s="78"/>
      <c r="D26" s="41" t="s">
        <v>62</v>
      </c>
      <c r="E26" s="42" t="s">
        <v>63</v>
      </c>
      <c r="F26" s="3" t="s">
        <v>64</v>
      </c>
      <c r="G26" s="3">
        <v>5</v>
      </c>
      <c r="H26" s="3">
        <v>5</v>
      </c>
      <c r="I26" s="4" t="s">
        <v>7</v>
      </c>
    </row>
    <row r="27" spans="2:9" ht="19.95" customHeight="1" x14ac:dyDescent="0.25">
      <c r="B27" s="77"/>
      <c r="C27" s="78"/>
      <c r="D27" s="113" t="s">
        <v>78</v>
      </c>
      <c r="E27" s="115" t="s">
        <v>55</v>
      </c>
      <c r="F27" s="75" t="s">
        <v>7</v>
      </c>
      <c r="G27" s="75">
        <v>104.82</v>
      </c>
      <c r="H27" s="75">
        <v>104.82</v>
      </c>
      <c r="I27" s="89" t="s">
        <v>50</v>
      </c>
    </row>
    <row r="28" spans="2:9" ht="19.95" customHeight="1" x14ac:dyDescent="0.25">
      <c r="B28" s="118" t="s">
        <v>4</v>
      </c>
      <c r="C28" s="119">
        <v>46213</v>
      </c>
      <c r="D28" s="114"/>
      <c r="E28" s="75"/>
      <c r="F28" s="75"/>
      <c r="G28" s="75"/>
      <c r="H28" s="75"/>
      <c r="I28" s="90"/>
    </row>
    <row r="29" spans="2:9" ht="19.95" customHeight="1" x14ac:dyDescent="0.25">
      <c r="B29" s="118"/>
      <c r="C29" s="119"/>
      <c r="D29" s="26" t="s">
        <v>22</v>
      </c>
      <c r="E29" s="5" t="s">
        <v>23</v>
      </c>
      <c r="F29" s="5" t="s">
        <v>7</v>
      </c>
      <c r="G29" s="5">
        <v>8</v>
      </c>
      <c r="H29" s="5">
        <v>8</v>
      </c>
      <c r="I29" s="9" t="s">
        <v>7</v>
      </c>
    </row>
    <row r="30" spans="2:9" ht="19.95" customHeight="1" x14ac:dyDescent="0.25">
      <c r="B30" s="118"/>
      <c r="C30" s="119"/>
      <c r="D30" s="26" t="s">
        <v>24</v>
      </c>
      <c r="E30" s="5" t="s">
        <v>23</v>
      </c>
      <c r="F30" s="5" t="s">
        <v>66</v>
      </c>
      <c r="G30" s="5">
        <v>20</v>
      </c>
      <c r="H30" s="5">
        <v>20</v>
      </c>
      <c r="I30" s="44" t="s">
        <v>67</v>
      </c>
    </row>
    <row r="31" spans="2:9" ht="19.95" customHeight="1" x14ac:dyDescent="0.25">
      <c r="B31" s="118"/>
      <c r="C31" s="119"/>
      <c r="D31" s="91" t="s">
        <v>25</v>
      </c>
      <c r="E31" s="92" t="s">
        <v>26</v>
      </c>
      <c r="F31" s="92" t="s">
        <v>7</v>
      </c>
      <c r="G31" s="92">
        <v>79.7</v>
      </c>
      <c r="H31" s="92">
        <v>79.7</v>
      </c>
      <c r="I31" s="87" t="s">
        <v>50</v>
      </c>
    </row>
    <row r="32" spans="2:9" ht="19.95" customHeight="1" x14ac:dyDescent="0.25">
      <c r="B32" s="121" t="s">
        <v>5</v>
      </c>
      <c r="C32" s="120">
        <v>46214</v>
      </c>
      <c r="D32" s="91"/>
      <c r="E32" s="92"/>
      <c r="F32" s="92"/>
      <c r="G32" s="92"/>
      <c r="H32" s="92"/>
      <c r="I32" s="88"/>
    </row>
    <row r="33" spans="2:9" ht="19.95" customHeight="1" x14ac:dyDescent="0.25">
      <c r="B33" s="121"/>
      <c r="C33" s="120"/>
      <c r="D33" s="112" t="s">
        <v>27</v>
      </c>
      <c r="E33" s="6" t="s">
        <v>44</v>
      </c>
      <c r="F33" s="6" t="s">
        <v>10</v>
      </c>
      <c r="G33" s="6">
        <v>10</v>
      </c>
      <c r="H33" s="6">
        <v>10</v>
      </c>
      <c r="I33" s="30" t="s">
        <v>52</v>
      </c>
    </row>
    <row r="34" spans="2:9" ht="19.95" customHeight="1" x14ac:dyDescent="0.25">
      <c r="B34" s="121"/>
      <c r="C34" s="120"/>
      <c r="D34" s="112"/>
      <c r="E34" s="43" t="s">
        <v>65</v>
      </c>
      <c r="F34" s="6" t="s">
        <v>32</v>
      </c>
      <c r="G34" s="6">
        <v>0</v>
      </c>
      <c r="H34" s="6">
        <v>0</v>
      </c>
      <c r="I34" s="14" t="s">
        <v>45</v>
      </c>
    </row>
    <row r="35" spans="2:9" ht="19.95" customHeight="1" x14ac:dyDescent="0.25">
      <c r="B35" s="121"/>
      <c r="C35" s="120"/>
      <c r="D35" s="112"/>
      <c r="E35" s="6" t="s">
        <v>30</v>
      </c>
      <c r="F35" s="6" t="s">
        <v>7</v>
      </c>
      <c r="G35" s="6">
        <v>90</v>
      </c>
      <c r="H35" s="6">
        <v>90</v>
      </c>
      <c r="I35" s="7" t="s">
        <v>7</v>
      </c>
    </row>
    <row r="36" spans="2:9" ht="19.95" customHeight="1" x14ac:dyDescent="0.25">
      <c r="B36" s="121"/>
      <c r="C36" s="120"/>
      <c r="D36" s="71" t="s">
        <v>38</v>
      </c>
      <c r="E36" s="69" t="s">
        <v>26</v>
      </c>
      <c r="F36" s="67" t="s">
        <v>7</v>
      </c>
      <c r="G36" s="67">
        <v>79.7</v>
      </c>
      <c r="H36" s="67">
        <v>79.7</v>
      </c>
      <c r="I36" s="65" t="s">
        <v>50</v>
      </c>
    </row>
    <row r="37" spans="2:9" ht="19.95" customHeight="1" x14ac:dyDescent="0.25">
      <c r="B37" s="124" t="s">
        <v>9</v>
      </c>
      <c r="C37" s="122">
        <v>46215</v>
      </c>
      <c r="D37" s="72"/>
      <c r="E37" s="70"/>
      <c r="F37" s="68"/>
      <c r="G37" s="68"/>
      <c r="H37" s="68"/>
      <c r="I37" s="66"/>
    </row>
    <row r="38" spans="2:9" ht="19.95" customHeight="1" x14ac:dyDescent="0.25">
      <c r="B38" s="124"/>
      <c r="C38" s="122"/>
      <c r="D38" s="27" t="s">
        <v>34</v>
      </c>
      <c r="E38" s="8" t="s">
        <v>46</v>
      </c>
      <c r="F38" s="8" t="s">
        <v>37</v>
      </c>
      <c r="G38" s="8">
        <v>110</v>
      </c>
      <c r="H38" s="8">
        <v>110</v>
      </c>
      <c r="I38" s="29" t="s">
        <v>51</v>
      </c>
    </row>
    <row r="39" spans="2:9" ht="19.95" customHeight="1" thickBot="1" x14ac:dyDescent="0.3">
      <c r="B39" s="125"/>
      <c r="C39" s="123"/>
      <c r="D39" s="28" t="s">
        <v>28</v>
      </c>
      <c r="E39" s="18" t="s">
        <v>35</v>
      </c>
      <c r="F39" s="19" t="s">
        <v>36</v>
      </c>
      <c r="G39" s="18">
        <v>18</v>
      </c>
      <c r="H39" s="18">
        <v>18</v>
      </c>
      <c r="I39" s="20" t="s">
        <v>47</v>
      </c>
    </row>
    <row r="40" spans="2:9" ht="19.95" customHeight="1" x14ac:dyDescent="0.25">
      <c r="B40" s="106" t="s">
        <v>70</v>
      </c>
      <c r="C40" s="107"/>
      <c r="D40" s="55" t="s">
        <v>72</v>
      </c>
      <c r="E40" s="55" t="s">
        <v>71</v>
      </c>
      <c r="F40" s="56" t="s">
        <v>73</v>
      </c>
      <c r="G40" s="49" t="s">
        <v>7</v>
      </c>
      <c r="H40" s="49" t="s">
        <v>7</v>
      </c>
      <c r="I40" s="50"/>
    </row>
    <row r="41" spans="2:9" ht="19.95" customHeight="1" x14ac:dyDescent="0.25">
      <c r="B41" s="108"/>
      <c r="C41" s="109"/>
      <c r="D41" s="52"/>
      <c r="E41" s="52"/>
      <c r="F41" s="53"/>
      <c r="G41" s="53">
        <f>SUM(D41+E41+F41)</f>
        <v>0</v>
      </c>
      <c r="H41" s="53">
        <f>SUM(D41+E41+F41)</f>
        <v>0</v>
      </c>
      <c r="I41" s="54"/>
    </row>
    <row r="42" spans="2:9" ht="19.95" customHeight="1" x14ac:dyDescent="0.25">
      <c r="B42" s="116" t="s">
        <v>61</v>
      </c>
      <c r="C42" s="117"/>
      <c r="D42" s="117"/>
      <c r="E42" s="117"/>
      <c r="F42" s="117"/>
      <c r="G42" s="37">
        <f>SUM(G4:G39)</f>
        <v>941.33000000000015</v>
      </c>
      <c r="H42" s="37">
        <f>SUM(H4:H39)</f>
        <v>801.33</v>
      </c>
      <c r="I42" s="51"/>
    </row>
    <row r="43" spans="2:9" ht="15" thickBot="1" x14ac:dyDescent="0.3">
      <c r="B43" s="104" t="s">
        <v>60</v>
      </c>
      <c r="C43" s="105"/>
      <c r="D43" s="105"/>
      <c r="E43" s="105"/>
      <c r="F43" s="39">
        <v>1250</v>
      </c>
      <c r="G43" s="38" t="s">
        <v>59</v>
      </c>
      <c r="H43" s="39">
        <f>F43-H42</f>
        <v>448.66999999999996</v>
      </c>
      <c r="I43" s="40"/>
    </row>
  </sheetData>
  <mergeCells count="55">
    <mergeCell ref="B43:E43"/>
    <mergeCell ref="B40:C41"/>
    <mergeCell ref="H18:H19"/>
    <mergeCell ref="I18:I19"/>
    <mergeCell ref="D33:D35"/>
    <mergeCell ref="D27:D28"/>
    <mergeCell ref="E27:E28"/>
    <mergeCell ref="B42:F42"/>
    <mergeCell ref="B28:B31"/>
    <mergeCell ref="C28:C31"/>
    <mergeCell ref="C32:C36"/>
    <mergeCell ref="B32:B36"/>
    <mergeCell ref="C37:C39"/>
    <mergeCell ref="B37:B39"/>
    <mergeCell ref="F31:F32"/>
    <mergeCell ref="G31:G32"/>
    <mergeCell ref="C6:C11"/>
    <mergeCell ref="D11:D12"/>
    <mergeCell ref="E11:E12"/>
    <mergeCell ref="F11:F12"/>
    <mergeCell ref="G11:G12"/>
    <mergeCell ref="I11:I12"/>
    <mergeCell ref="I4:I6"/>
    <mergeCell ref="I31:I32"/>
    <mergeCell ref="I27:I28"/>
    <mergeCell ref="D31:D32"/>
    <mergeCell ref="E31:E32"/>
    <mergeCell ref="H4:H6"/>
    <mergeCell ref="H11:H12"/>
    <mergeCell ref="H27:H28"/>
    <mergeCell ref="H31:H32"/>
    <mergeCell ref="F4:F6"/>
    <mergeCell ref="E4:E6"/>
    <mergeCell ref="G4:G6"/>
    <mergeCell ref="D36:D37"/>
    <mergeCell ref="B2:C2"/>
    <mergeCell ref="F27:F28"/>
    <mergeCell ref="G27:G28"/>
    <mergeCell ref="D4:D6"/>
    <mergeCell ref="B19:B27"/>
    <mergeCell ref="C19:C27"/>
    <mergeCell ref="B12:B18"/>
    <mergeCell ref="C12:C18"/>
    <mergeCell ref="F18:F19"/>
    <mergeCell ref="G18:G19"/>
    <mergeCell ref="D18:D19"/>
    <mergeCell ref="E18:E19"/>
    <mergeCell ref="B3:B5"/>
    <mergeCell ref="C3:C5"/>
    <mergeCell ref="B6:B11"/>
    <mergeCell ref="I36:I37"/>
    <mergeCell ref="H36:H37"/>
    <mergeCell ref="G36:G37"/>
    <mergeCell ref="F36:F37"/>
    <mergeCell ref="E36:E3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Kokomi Sangonomiya</dc:creator>
  <cp:lastModifiedBy>Kokomi Sangonomiya</cp:lastModifiedBy>
  <dcterms:created xsi:type="dcterms:W3CDTF">2026-06-26T14:25:05Z</dcterms:created>
  <dcterms:modified xsi:type="dcterms:W3CDTF">2026-09-25T06:06:15Z</dcterms:modified>
</cp:coreProperties>
</file>